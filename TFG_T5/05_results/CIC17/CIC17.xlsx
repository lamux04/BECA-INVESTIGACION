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MPIEZA" sheetId="1" state="visible" r:id="rId3"/>
    <sheet name="SPLIT" sheetId="2" state="visible" r:id="rId4"/>
    <sheet name="A1_COMPONENTES PCA" sheetId="3" state="visible" r:id="rId5"/>
    <sheet name="RESULTADOS EXPERIMENTO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<sst xmlns="http://schemas.openxmlformats.org/spreadsheetml/2006/main" count="115" uniqueCount="82">
  <si>
    <t xml:space="preserve">ETIQUETA</t>
  </si>
  <si>
    <t xml:space="preserve">ORIGINAL</t>
  </si>
  <si>
    <t xml:space="preserve">HOMOGENEIZAR COLUMNAS</t>
  </si>
  <si>
    <t xml:space="preserve">ELIMINAR COLUMNAS MANUALMENTE</t>
  </si>
  <si>
    <t xml:space="preserve">ELIMINAR INFINITOS Y VACÍOS</t>
  </si>
  <si>
    <t xml:space="preserve">ELIMINAR FILAS DUPLICADAS</t>
  </si>
  <si>
    <t xml:space="preserve">TRATAMIENTO DE VALORES NULOS</t>
  </si>
  <si>
    <t xml:space="preserve">ELIMINAR COLUMNAS CONSTANTES</t>
  </si>
  <si>
    <t xml:space="preserve">CODIFICAR COLUMNAS DE TEXTO</t>
  </si>
  <si>
    <t xml:space="preserve">ELIMINAR COLUMNAS ALTAMENTE CORRELACIONADAS</t>
  </si>
  <si>
    <t xml:space="preserve">CODIFICAR ETIQUETA</t>
  </si>
  <si>
    <t xml:space="preserve">BENIGN</t>
  </si>
  <si>
    <t xml:space="preserve">DoS Hulk</t>
  </si>
  <si>
    <t xml:space="preserve">PortScan</t>
  </si>
  <si>
    <t xml:space="preserve">DDoS</t>
  </si>
  <si>
    <t xml:space="preserve">DoS GoldenEye</t>
  </si>
  <si>
    <t xml:space="preserve">FTP-Patator</t>
  </si>
  <si>
    <t xml:space="preserve">SSH-Patator</t>
  </si>
  <si>
    <t xml:space="preserve">DoS slowloris</t>
  </si>
  <si>
    <t xml:space="preserve">DoS Slowhttptest</t>
  </si>
  <si>
    <t xml:space="preserve">Bot</t>
  </si>
  <si>
    <t xml:space="preserve">Web Attack – Brute Force</t>
  </si>
  <si>
    <t xml:space="preserve">Web Attack - XSS</t>
  </si>
  <si>
    <t xml:space="preserve">Infiltration</t>
  </si>
  <si>
    <t xml:space="preserve">Web Attack – Sql Injection</t>
  </si>
  <si>
    <t xml:space="preserve">Heartbleed</t>
  </si>
  <si>
    <t xml:space="preserve">TOTAL DE FILAS</t>
  </si>
  <si>
    <t xml:space="preserve">NÚMERO DE COLUMNAS</t>
  </si>
  <si>
    <t xml:space="preserve">ETIQUETA ORIGINAL</t>
  </si>
  <si>
    <t xml:space="preserve">ETIQUETA CODIFICADA</t>
  </si>
  <si>
    <t xml:space="preserve">Web Attack - Brute Force</t>
  </si>
  <si>
    <t xml:space="preserve">Web Attack - Sql Injection</t>
  </si>
  <si>
    <t xml:space="preserve">LIMPIADO</t>
  </si>
  <si>
    <t xml:space="preserve">LIMPIADO (%)</t>
  </si>
  <si>
    <t xml:space="preserve">TRAIN</t>
  </si>
  <si>
    <t xml:space="preserve">TRAIN (%)</t>
  </si>
  <si>
    <t xml:space="preserve">TEST</t>
  </si>
  <si>
    <t xml:space="preserve">TEST (%)</t>
  </si>
  <si>
    <t xml:space="preserve">ROBUST SCALER</t>
  </si>
  <si>
    <t xml:space="preserve">STANDARD SCALER</t>
  </si>
  <si>
    <t xml:space="preserve">COMPONENTES</t>
  </si>
  <si>
    <t xml:space="preserve">RATIO VARIANZA EXPLICADA</t>
  </si>
  <si>
    <t xml:space="preserve">VARIANZA ACUMULADA</t>
  </si>
  <si>
    <t xml:space="preserve">FASE</t>
  </si>
  <si>
    <t xml:space="preserve">EXPERIMENTO</t>
  </si>
  <si>
    <t xml:space="preserve">N.º FOLDS</t>
  </si>
  <si>
    <t xml:space="preserve">ACCURACY MEDIO</t>
  </si>
  <si>
    <t xml:space="preserve">ACCURACY STD</t>
  </si>
  <si>
    <t xml:space="preserve">PRECISION WEIGHTED MEDIO</t>
  </si>
  <si>
    <t xml:space="preserve">PRECISION WEIGHTED STD</t>
  </si>
  <si>
    <t xml:space="preserve">RECALL WEIGHTED MEDIO</t>
  </si>
  <si>
    <t xml:space="preserve">RECALL WEIGHTED STD</t>
  </si>
  <si>
    <t xml:space="preserve">F1 WEIGHTED MEDIO</t>
  </si>
  <si>
    <t xml:space="preserve">F1 WEIGHTED STD</t>
  </si>
  <si>
    <t xml:space="preserve">PRECISION MACRO MEDIO</t>
  </si>
  <si>
    <t xml:space="preserve">PRECISION MACRO STD</t>
  </si>
  <si>
    <t xml:space="preserve">RECALL MACRO MEDIO</t>
  </si>
  <si>
    <t xml:space="preserve">RECALL MACRO STD</t>
  </si>
  <si>
    <t xml:space="preserve">F1 MACRO MEDIO</t>
  </si>
  <si>
    <t xml:space="preserve">F1 MACRO STD</t>
  </si>
  <si>
    <t xml:space="preserve">FPR WEIGHTED MEDIO</t>
  </si>
  <si>
    <t xml:space="preserve">FPR WEIGHTED STD</t>
  </si>
  <si>
    <t xml:space="preserve">FNR WEIGHTED MEDIO</t>
  </si>
  <si>
    <t xml:space="preserve">FNR WEIGHTED STD</t>
  </si>
  <si>
    <t xml:space="preserve">FPR MACRO MEDIO</t>
  </si>
  <si>
    <t xml:space="preserve">FPR MACRO STD</t>
  </si>
  <si>
    <t xml:space="preserve">FNR MACRO MEDIO</t>
  </si>
  <si>
    <t xml:space="preserve">FNR MACRO STD</t>
  </si>
  <si>
    <t xml:space="preserve">MCC MEDIO</t>
  </si>
  <si>
    <t xml:space="preserve">MCC STD</t>
  </si>
  <si>
    <t xml:space="preserve">DETECTION LATENCY MEDIO (S)</t>
  </si>
  <si>
    <t xml:space="preserve">DETECTION LATENCY STD (S)</t>
  </si>
  <si>
    <t xml:space="preserve">FIT TIME MEDIO</t>
  </si>
  <si>
    <t xml:space="preserve">FIT TIME STD</t>
  </si>
  <si>
    <t xml:space="preserve">SCORE TIME MEDIO</t>
  </si>
  <si>
    <t xml:space="preserve">SCORE TIME STD</t>
  </si>
  <si>
    <t xml:space="preserve">B</t>
  </si>
  <si>
    <t xml:space="preserve">TODAS LAS VARIABLES + NO SCALER + NO PCA</t>
  </si>
  <si>
    <t xml:space="preserve">C</t>
  </si>
  <si>
    <t xml:space="preserve">STANDARDSCALER + TODAS LAS VARIABLES CON PCA33</t>
  </si>
  <si>
    <t xml:space="preserve">D</t>
  </si>
  <si>
    <t xml:space="preserve">ROBUSTSCALER + TODAS LAS VARIABLES CON PCA3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</si>
</sst>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00\ %"/>
    <numFmt numFmtId="167" formatCode="0.00\ %"/>
    <numFmt numFmtId="168" formatCode="0.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scadia Code PL"/>
      <family val="0"/>
      <charset val="1"/>
    </font>
    <font>
      <sz val="13"/>
      <name val="Cascadia Code PL"/>
      <family val="0"/>
      <charset val="1"/>
    </font>
    <font>
      <b val="true"/>
      <sz val="21"/>
      <color rgb="FF000000"/>
      <name val="Cascadia Code PL"/>
      <family val="0"/>
    </font>
    <font>
      <b val="true"/>
      <sz val="20"/>
      <color rgb="FF000000"/>
      <name val="Cascadia Code PL"/>
      <family val="0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AFD095"/>
      </patternFill>
    </fill>
    <fill>
      <patternFill patternType="solid">
        <fgColor rgb="FFAFD095"/>
        <bgColor rgb="FF99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48240</xdr:colOff>
      <xdr:row>1</xdr:row>
      <xdr:rowOff>92880</xdr:rowOff>
    </xdr:from>
    <xdr:to>
      <xdr:col>19</xdr:col>
      <xdr:colOff>313560</xdr:colOff>
      <xdr:row>28</xdr:row>
      <xdr:rowOff>39240</xdr:rowOff>
    </xdr:to>
    <xdr:sp>
      <xdr:nvSpPr>
        <xdr:cNvPr id="0" name="Imagen 1"/>
        <xdr:cNvSpPr/>
      </xdr:nvSpPr>
      <xdr:spPr>
        <a:xfrm>
          <a:off x="8961840" y="313920"/>
          <a:ext cx="10018800" cy="5758920"/>
        </a:xfrm>
        <a:prstGeom prst="rect">
          <a:avLst/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100" spc="-1" strike="noStrike">
              <a:solidFill>
                <a:srgbClr val="000000"/>
              </a:solidFill>
              <a:latin typeface="Cascadia Code PL"/>
              <a:ea typeface="DejaVu Sans"/>
            </a:rPr>
            <a:t>ROBUST SCALER</a:t>
          </a:r>
          <a:endParaRPr b="0" lang="es-ES" sz="2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773640</xdr:colOff>
      <xdr:row>30</xdr:row>
      <xdr:rowOff>99360</xdr:rowOff>
    </xdr:from>
    <xdr:to>
      <xdr:col>19</xdr:col>
      <xdr:colOff>299880</xdr:colOff>
      <xdr:row>61</xdr:row>
      <xdr:rowOff>122040</xdr:rowOff>
    </xdr:to>
    <xdr:sp>
      <xdr:nvSpPr>
        <xdr:cNvPr id="1" name="Imagen 2"/>
        <xdr:cNvSpPr/>
      </xdr:nvSpPr>
      <xdr:spPr>
        <a:xfrm>
          <a:off x="8874360" y="6549840"/>
          <a:ext cx="10092600" cy="5930640"/>
        </a:xfrm>
        <a:prstGeom prst="rect">
          <a:avLst/>
        </a:prstGeom>
        <a:blipFill rotWithShape="0">
          <a:blip r:embed="rId2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000" spc="-1" strike="noStrike">
              <a:solidFill>
                <a:srgbClr val="000000"/>
              </a:solidFill>
              <a:latin typeface="Cascadia Code PL"/>
              <a:ea typeface="DejaVu Sans"/>
            </a:rPr>
            <a:t>STANDARD SCALER</a:t>
          </a:r>
          <a:endParaRPr b="0" lang="es-ES" sz="20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1" activeCellId="0" sqref="D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44"/>
    <col collapsed="false" customWidth="true" hidden="false" outlineLevel="0" max="2" min="2" style="1" width="25.25"/>
    <col collapsed="false" customWidth="true" hidden="false" outlineLevel="0" max="5" min="3" style="1" width="24.18"/>
    <col collapsed="false" customWidth="true" hidden="false" outlineLevel="0" max="6" min="6" style="1" width="28.67"/>
    <col collapsed="false" customWidth="true" hidden="false" outlineLevel="0" max="7" min="7" style="1" width="31.03"/>
    <col collapsed="false" customWidth="true" hidden="false" outlineLevel="0" max="8" min="8" style="1" width="29.1"/>
    <col collapsed="false" customWidth="true" hidden="false" outlineLevel="0" max="9" min="9" style="1" width="31.46"/>
    <col collapsed="false" customWidth="true" hidden="false" outlineLevel="0" max="10" min="10" style="1" width="32.74"/>
    <col collapsed="false" customWidth="true" hidden="false" outlineLevel="0" max="11" min="11" style="1" width="31.46"/>
  </cols>
  <sheetData>
    <row r="1" customFormat="false" ht="56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</row>
    <row r="2" customFormat="false" ht="16.15" hidden="false" customHeight="false" outlineLevel="0" collapsed="false">
      <c r="A2" s="5" t="s">
        <v>11</v>
      </c>
      <c r="B2" s="6" t="n">
        <v>2273097</v>
      </c>
      <c r="C2" s="6" t="n">
        <v>2273097</v>
      </c>
      <c r="D2" s="6" t="n">
        <v>2273097</v>
      </c>
      <c r="E2" s="6" t="n">
        <v>2273097</v>
      </c>
      <c r="F2" s="6" t="n">
        <v>2096484</v>
      </c>
      <c r="G2" s="6" t="n">
        <v>2095057</v>
      </c>
      <c r="H2" s="6" t="n">
        <v>2095057</v>
      </c>
      <c r="I2" s="6" t="n">
        <v>2095057</v>
      </c>
      <c r="J2" s="6" t="n">
        <v>2095057</v>
      </c>
      <c r="K2" s="6" t="n">
        <v>2095057</v>
      </c>
      <c r="L2" s="7"/>
      <c r="M2" s="7"/>
      <c r="N2" s="7"/>
    </row>
    <row r="3" customFormat="false" ht="16.15" hidden="false" customHeight="false" outlineLevel="0" collapsed="false">
      <c r="A3" s="8" t="s">
        <v>12</v>
      </c>
      <c r="B3" s="9" t="n">
        <v>231073</v>
      </c>
      <c r="C3" s="9" t="n">
        <v>231073</v>
      </c>
      <c r="D3" s="9" t="n">
        <v>231073</v>
      </c>
      <c r="E3" s="9" t="n">
        <v>231073</v>
      </c>
      <c r="F3" s="9" t="n">
        <v>172849</v>
      </c>
      <c r="G3" s="9" t="n">
        <v>172846</v>
      </c>
      <c r="H3" s="9" t="n">
        <v>172846</v>
      </c>
      <c r="I3" s="9" t="n">
        <v>172846</v>
      </c>
      <c r="J3" s="9" t="n">
        <v>172846</v>
      </c>
      <c r="K3" s="9" t="n">
        <v>172846</v>
      </c>
      <c r="L3" s="7"/>
      <c r="M3" s="7"/>
      <c r="N3" s="7"/>
    </row>
    <row r="4" customFormat="false" ht="16.15" hidden="false" customHeight="false" outlineLevel="0" collapsed="false">
      <c r="A4" s="8" t="s">
        <v>13</v>
      </c>
      <c r="B4" s="9" t="n">
        <v>158930</v>
      </c>
      <c r="C4" s="9" t="n">
        <v>158930</v>
      </c>
      <c r="D4" s="9" t="n">
        <v>158930</v>
      </c>
      <c r="E4" s="9" t="n">
        <v>158930</v>
      </c>
      <c r="F4" s="9" t="n">
        <v>128016</v>
      </c>
      <c r="G4" s="9" t="n">
        <v>128014</v>
      </c>
      <c r="H4" s="9" t="n">
        <v>128014</v>
      </c>
      <c r="I4" s="9" t="n">
        <v>128014</v>
      </c>
      <c r="J4" s="9" t="n">
        <v>128014</v>
      </c>
      <c r="K4" s="9" t="n">
        <v>128014</v>
      </c>
      <c r="L4" s="7"/>
      <c r="M4" s="7"/>
      <c r="N4" s="7"/>
    </row>
    <row r="5" customFormat="false" ht="16.15" hidden="false" customHeight="false" outlineLevel="0" collapsed="false">
      <c r="A5" s="8" t="s">
        <v>14</v>
      </c>
      <c r="B5" s="9" t="n">
        <v>128027</v>
      </c>
      <c r="C5" s="9" t="n">
        <v>128027</v>
      </c>
      <c r="D5" s="9" t="n">
        <v>128027</v>
      </c>
      <c r="E5" s="9" t="n">
        <v>128027</v>
      </c>
      <c r="F5" s="9" t="n">
        <v>90819</v>
      </c>
      <c r="G5" s="9" t="n">
        <v>90694</v>
      </c>
      <c r="H5" s="9" t="n">
        <v>90694</v>
      </c>
      <c r="I5" s="9" t="n">
        <v>90694</v>
      </c>
      <c r="J5" s="9" t="n">
        <v>90694</v>
      </c>
      <c r="K5" s="9" t="n">
        <v>90694</v>
      </c>
      <c r="L5" s="7"/>
      <c r="M5" s="7"/>
      <c r="N5" s="7"/>
    </row>
    <row r="6" customFormat="false" ht="16.15" hidden="false" customHeight="false" outlineLevel="0" collapsed="false">
      <c r="A6" s="8" t="s">
        <v>15</v>
      </c>
      <c r="B6" s="9" t="n">
        <v>10293</v>
      </c>
      <c r="C6" s="9" t="n">
        <v>10293</v>
      </c>
      <c r="D6" s="9" t="n">
        <v>10293</v>
      </c>
      <c r="E6" s="9" t="n">
        <v>10293</v>
      </c>
      <c r="F6" s="9" t="n">
        <v>10286</v>
      </c>
      <c r="G6" s="9" t="n">
        <v>10286</v>
      </c>
      <c r="H6" s="9" t="n">
        <v>10286</v>
      </c>
      <c r="I6" s="9" t="n">
        <v>10286</v>
      </c>
      <c r="J6" s="9" t="n">
        <v>10286</v>
      </c>
      <c r="K6" s="9" t="n">
        <v>10286</v>
      </c>
      <c r="L6" s="7"/>
      <c r="M6" s="7"/>
      <c r="N6" s="7"/>
    </row>
    <row r="7" customFormat="false" ht="16.15" hidden="false" customHeight="false" outlineLevel="0" collapsed="false">
      <c r="A7" s="8" t="s">
        <v>16</v>
      </c>
      <c r="B7" s="9" t="n">
        <v>7938</v>
      </c>
      <c r="C7" s="9" t="n">
        <v>7938</v>
      </c>
      <c r="D7" s="9" t="n">
        <v>7938</v>
      </c>
      <c r="E7" s="9" t="n">
        <v>7938</v>
      </c>
      <c r="F7" s="9" t="n">
        <v>5933</v>
      </c>
      <c r="G7" s="9" t="n">
        <v>5931</v>
      </c>
      <c r="H7" s="9" t="n">
        <v>5931</v>
      </c>
      <c r="I7" s="9" t="n">
        <v>5931</v>
      </c>
      <c r="J7" s="9" t="n">
        <v>5931</v>
      </c>
      <c r="K7" s="9" t="n">
        <v>5931</v>
      </c>
      <c r="L7" s="7"/>
      <c r="M7" s="7"/>
      <c r="N7" s="7"/>
    </row>
    <row r="8" customFormat="false" ht="16.15" hidden="false" customHeight="false" outlineLevel="0" collapsed="false">
      <c r="A8" s="8" t="s">
        <v>17</v>
      </c>
      <c r="B8" s="9" t="n">
        <v>5897</v>
      </c>
      <c r="C8" s="9" t="n">
        <v>5897</v>
      </c>
      <c r="D8" s="9" t="n">
        <v>5897</v>
      </c>
      <c r="E8" s="9" t="n">
        <v>5897</v>
      </c>
      <c r="F8" s="9" t="n">
        <v>5385</v>
      </c>
      <c r="G8" s="9" t="n">
        <v>5385</v>
      </c>
      <c r="H8" s="9" t="n">
        <v>5385</v>
      </c>
      <c r="I8" s="9" t="n">
        <v>5385</v>
      </c>
      <c r="J8" s="9" t="n">
        <v>5385</v>
      </c>
      <c r="K8" s="9" t="n">
        <v>5385</v>
      </c>
      <c r="L8" s="7"/>
      <c r="M8" s="7"/>
      <c r="N8" s="7"/>
    </row>
    <row r="9" customFormat="false" ht="16.15" hidden="false" customHeight="false" outlineLevel="0" collapsed="false">
      <c r="A9" s="8" t="s">
        <v>18</v>
      </c>
      <c r="B9" s="9" t="n">
        <v>5796</v>
      </c>
      <c r="C9" s="9" t="n">
        <v>5796</v>
      </c>
      <c r="D9" s="9" t="n">
        <v>5796</v>
      </c>
      <c r="E9" s="9" t="n">
        <v>5796</v>
      </c>
      <c r="F9" s="9" t="n">
        <v>5228</v>
      </c>
      <c r="G9" s="9" t="n">
        <v>5228</v>
      </c>
      <c r="H9" s="9" t="n">
        <v>5228</v>
      </c>
      <c r="I9" s="9" t="n">
        <v>5228</v>
      </c>
      <c r="J9" s="9" t="n">
        <v>5228</v>
      </c>
      <c r="K9" s="9" t="n">
        <v>5228</v>
      </c>
      <c r="L9" s="7"/>
      <c r="M9" s="7"/>
      <c r="N9" s="7"/>
    </row>
    <row r="10" customFormat="false" ht="16.15" hidden="false" customHeight="false" outlineLevel="0" collapsed="false">
      <c r="A10" s="8" t="s">
        <v>19</v>
      </c>
      <c r="B10" s="9" t="n">
        <v>5499</v>
      </c>
      <c r="C10" s="9" t="n">
        <v>5499</v>
      </c>
      <c r="D10" s="9" t="n">
        <v>5499</v>
      </c>
      <c r="E10" s="9" t="n">
        <v>5499</v>
      </c>
      <c r="F10" s="9" t="n">
        <v>3219</v>
      </c>
      <c r="G10" s="9" t="n">
        <v>3219</v>
      </c>
      <c r="H10" s="9" t="n">
        <v>3219</v>
      </c>
      <c r="I10" s="9" t="n">
        <v>3219</v>
      </c>
      <c r="J10" s="9" t="n">
        <v>3219</v>
      </c>
      <c r="K10" s="9" t="n">
        <v>3219</v>
      </c>
      <c r="L10" s="7"/>
      <c r="M10" s="7"/>
      <c r="N10" s="7"/>
    </row>
    <row r="11" customFormat="false" ht="16.15" hidden="false" customHeight="false" outlineLevel="0" collapsed="false">
      <c r="A11" s="8" t="s">
        <v>20</v>
      </c>
      <c r="B11" s="9" t="n">
        <v>1966</v>
      </c>
      <c r="C11" s="9" t="n">
        <v>1966</v>
      </c>
      <c r="D11" s="9" t="n">
        <v>1966</v>
      </c>
      <c r="E11" s="9" t="n">
        <v>1966</v>
      </c>
      <c r="F11" s="9" t="n">
        <v>1953</v>
      </c>
      <c r="G11" s="9" t="n">
        <v>1948</v>
      </c>
      <c r="H11" s="9" t="n">
        <v>1948</v>
      </c>
      <c r="I11" s="9" t="n">
        <v>1948</v>
      </c>
      <c r="J11" s="9" t="n">
        <v>1948</v>
      </c>
      <c r="K11" s="9" t="n">
        <v>1948</v>
      </c>
      <c r="L11" s="7"/>
      <c r="M11" s="7"/>
      <c r="N11" s="7"/>
    </row>
    <row r="12" customFormat="false" ht="16.15" hidden="false" customHeight="false" outlineLevel="0" collapsed="false">
      <c r="A12" s="8" t="s">
        <v>21</v>
      </c>
      <c r="B12" s="9" t="n">
        <v>1507</v>
      </c>
      <c r="C12" s="9" t="n">
        <v>1507</v>
      </c>
      <c r="D12" s="9" t="n">
        <v>1507</v>
      </c>
      <c r="E12" s="9" t="n">
        <v>1507</v>
      </c>
      <c r="F12" s="9" t="n">
        <v>1470</v>
      </c>
      <c r="G12" s="9" t="n">
        <v>1470</v>
      </c>
      <c r="H12" s="9" t="n">
        <v>1470</v>
      </c>
      <c r="I12" s="9" t="n">
        <v>1470</v>
      </c>
      <c r="J12" s="9" t="n">
        <v>1470</v>
      </c>
      <c r="K12" s="9" t="n">
        <v>1470</v>
      </c>
      <c r="L12" s="7"/>
      <c r="M12" s="7"/>
      <c r="N12" s="7"/>
    </row>
    <row r="13" customFormat="false" ht="16.15" hidden="false" customHeight="false" outlineLevel="0" collapsed="false">
      <c r="A13" s="8" t="s">
        <v>22</v>
      </c>
      <c r="B13" s="9" t="n">
        <v>652</v>
      </c>
      <c r="C13" s="9" t="n">
        <v>652</v>
      </c>
      <c r="D13" s="9" t="n">
        <v>652</v>
      </c>
      <c r="E13" s="9" t="n">
        <v>652</v>
      </c>
      <c r="F13" s="9" t="n">
        <v>652</v>
      </c>
      <c r="G13" s="9" t="n">
        <v>652</v>
      </c>
      <c r="H13" s="9" t="n">
        <v>652</v>
      </c>
      <c r="I13" s="9" t="n">
        <v>652</v>
      </c>
      <c r="J13" s="9" t="n">
        <v>652</v>
      </c>
      <c r="K13" s="9" t="n">
        <v>652</v>
      </c>
      <c r="L13" s="7"/>
      <c r="M13" s="7"/>
      <c r="N13" s="7"/>
    </row>
    <row r="14" customFormat="false" ht="16.15" hidden="false" customHeight="false" outlineLevel="0" collapsed="false">
      <c r="A14" s="8" t="s">
        <v>23</v>
      </c>
      <c r="B14" s="9" t="n">
        <v>36</v>
      </c>
      <c r="C14" s="9" t="n">
        <v>36</v>
      </c>
      <c r="D14" s="9" t="n">
        <v>36</v>
      </c>
      <c r="E14" s="9" t="n">
        <v>36</v>
      </c>
      <c r="F14" s="9" t="n">
        <v>36</v>
      </c>
      <c r="G14" s="9" t="n">
        <v>36</v>
      </c>
      <c r="H14" s="9" t="n">
        <v>36</v>
      </c>
      <c r="I14" s="9" t="n">
        <v>36</v>
      </c>
      <c r="J14" s="9" t="n">
        <v>36</v>
      </c>
      <c r="K14" s="9" t="n">
        <v>36</v>
      </c>
      <c r="L14" s="7"/>
      <c r="M14" s="7"/>
      <c r="N14" s="7"/>
    </row>
    <row r="15" customFormat="false" ht="16.15" hidden="false" customHeight="false" outlineLevel="0" collapsed="false">
      <c r="A15" s="8" t="s">
        <v>24</v>
      </c>
      <c r="B15" s="9" t="n">
        <v>21</v>
      </c>
      <c r="C15" s="9" t="n">
        <v>21</v>
      </c>
      <c r="D15" s="9" t="n">
        <v>21</v>
      </c>
      <c r="E15" s="9" t="n">
        <v>21</v>
      </c>
      <c r="F15" s="9" t="n">
        <v>21</v>
      </c>
      <c r="G15" s="9" t="n">
        <v>21</v>
      </c>
      <c r="H15" s="9" t="n">
        <v>21</v>
      </c>
      <c r="I15" s="9" t="n">
        <v>21</v>
      </c>
      <c r="J15" s="9" t="n">
        <v>21</v>
      </c>
      <c r="K15" s="9" t="n">
        <v>21</v>
      </c>
      <c r="L15" s="7"/>
      <c r="M15" s="7"/>
      <c r="N15" s="7"/>
    </row>
    <row r="16" customFormat="false" ht="16.15" hidden="false" customHeight="false" outlineLevel="0" collapsed="false">
      <c r="A16" s="10" t="s">
        <v>25</v>
      </c>
      <c r="B16" s="11" t="n">
        <v>11</v>
      </c>
      <c r="C16" s="11" t="n">
        <v>11</v>
      </c>
      <c r="D16" s="11" t="n">
        <v>11</v>
      </c>
      <c r="E16" s="11" t="n">
        <v>11</v>
      </c>
      <c r="F16" s="11" t="n">
        <v>11</v>
      </c>
      <c r="G16" s="11" t="n">
        <v>11</v>
      </c>
      <c r="H16" s="11" t="n">
        <v>11</v>
      </c>
      <c r="I16" s="11" t="n">
        <v>11</v>
      </c>
      <c r="J16" s="11" t="n">
        <v>11</v>
      </c>
      <c r="K16" s="11" t="n">
        <v>11</v>
      </c>
      <c r="L16" s="7"/>
      <c r="M16" s="7"/>
      <c r="N16" s="7"/>
    </row>
    <row r="17" customFormat="false" ht="16.15" hidden="false" customHeight="false" outlineLevel="0" collapsed="false">
      <c r="A17" s="12" t="s">
        <v>26</v>
      </c>
      <c r="B17" s="13" t="n">
        <f aca="false">SUM(B2:B16)</f>
        <v>2830743</v>
      </c>
      <c r="C17" s="13" t="n">
        <f aca="false">SUM(C2:C16)</f>
        <v>2830743</v>
      </c>
      <c r="D17" s="13" t="n">
        <f aca="false">SUM(D2:D16)</f>
        <v>2830743</v>
      </c>
      <c r="E17" s="13" t="n">
        <f aca="false">SUM(E2:E16)</f>
        <v>2830743</v>
      </c>
      <c r="F17" s="13" t="n">
        <f aca="false">SUM(F2:F16)</f>
        <v>2522362</v>
      </c>
      <c r="G17" s="13" t="n">
        <f aca="false">SUM(G2:G16)</f>
        <v>2520798</v>
      </c>
      <c r="H17" s="13" t="n">
        <f aca="false">SUM(H2:H16)</f>
        <v>2520798</v>
      </c>
      <c r="I17" s="13" t="n">
        <f aca="false">SUM(I2:I16)</f>
        <v>2520798</v>
      </c>
      <c r="J17" s="13" t="n">
        <f aca="false">SUM(J2:J16)</f>
        <v>2520798</v>
      </c>
      <c r="K17" s="13" t="n">
        <f aca="false">SUM(K2:K16)</f>
        <v>2520798</v>
      </c>
      <c r="L17" s="7"/>
      <c r="M17" s="7"/>
      <c r="N17" s="7"/>
    </row>
    <row r="18" customFormat="false" ht="16.15" hidden="false" customHeight="false" outlineLevel="0" collapsed="false">
      <c r="A18" s="14" t="s">
        <v>27</v>
      </c>
      <c r="B18" s="15" t="n">
        <v>79</v>
      </c>
      <c r="C18" s="15" t="n">
        <v>79</v>
      </c>
      <c r="D18" s="15" t="n">
        <v>79</v>
      </c>
      <c r="E18" s="15" t="n">
        <v>79</v>
      </c>
      <c r="F18" s="15" t="n">
        <v>79</v>
      </c>
      <c r="G18" s="15" t="n">
        <v>79</v>
      </c>
      <c r="H18" s="15" t="n">
        <v>71</v>
      </c>
      <c r="I18" s="15" t="n">
        <v>71</v>
      </c>
      <c r="J18" s="15" t="n">
        <v>48</v>
      </c>
      <c r="K18" s="15" t="n">
        <v>48</v>
      </c>
      <c r="L18" s="7"/>
      <c r="M18" s="7"/>
      <c r="N18" s="7"/>
    </row>
    <row r="22" customFormat="false" ht="32.1" hidden="false" customHeight="true" outlineLevel="0" collapsed="false">
      <c r="A22" s="16" t="s">
        <v>28</v>
      </c>
      <c r="B22" s="17" t="s">
        <v>29</v>
      </c>
    </row>
    <row r="23" customFormat="false" ht="16.15" hidden="false" customHeight="false" outlineLevel="0" collapsed="false">
      <c r="A23" s="8" t="s">
        <v>11</v>
      </c>
      <c r="B23" s="6" t="n">
        <v>0</v>
      </c>
    </row>
    <row r="24" customFormat="false" ht="16.15" hidden="false" customHeight="false" outlineLevel="0" collapsed="false">
      <c r="A24" s="8" t="s">
        <v>12</v>
      </c>
      <c r="B24" s="9" t="n">
        <v>1</v>
      </c>
    </row>
    <row r="25" customFormat="false" ht="16.15" hidden="false" customHeight="false" outlineLevel="0" collapsed="false">
      <c r="A25" s="8" t="s">
        <v>14</v>
      </c>
      <c r="B25" s="9" t="n">
        <v>2</v>
      </c>
    </row>
    <row r="26" customFormat="false" ht="16.15" hidden="false" customHeight="false" outlineLevel="0" collapsed="false">
      <c r="A26" s="8" t="s">
        <v>13</v>
      </c>
      <c r="B26" s="9" t="n">
        <v>3</v>
      </c>
    </row>
    <row r="27" customFormat="false" ht="16.15" hidden="false" customHeight="false" outlineLevel="0" collapsed="false">
      <c r="A27" s="8" t="s">
        <v>15</v>
      </c>
      <c r="B27" s="9" t="n">
        <v>4</v>
      </c>
    </row>
    <row r="28" customFormat="false" ht="16.15" hidden="false" customHeight="false" outlineLevel="0" collapsed="false">
      <c r="A28" s="8" t="s">
        <v>16</v>
      </c>
      <c r="B28" s="9" t="n">
        <v>5</v>
      </c>
    </row>
    <row r="29" customFormat="false" ht="16.15" hidden="false" customHeight="false" outlineLevel="0" collapsed="false">
      <c r="A29" s="8" t="s">
        <v>18</v>
      </c>
      <c r="B29" s="9" t="n">
        <v>6</v>
      </c>
    </row>
    <row r="30" customFormat="false" ht="16.15" hidden="false" customHeight="false" outlineLevel="0" collapsed="false">
      <c r="A30" s="8" t="s">
        <v>19</v>
      </c>
      <c r="B30" s="9" t="n">
        <v>7</v>
      </c>
    </row>
    <row r="31" customFormat="false" ht="16.15" hidden="false" customHeight="false" outlineLevel="0" collapsed="false">
      <c r="A31" s="8" t="s">
        <v>17</v>
      </c>
      <c r="B31" s="9" t="n">
        <v>8</v>
      </c>
    </row>
    <row r="32" customFormat="false" ht="16.15" hidden="false" customHeight="false" outlineLevel="0" collapsed="false">
      <c r="A32" s="8" t="s">
        <v>20</v>
      </c>
      <c r="B32" s="9" t="n">
        <v>9</v>
      </c>
    </row>
    <row r="33" customFormat="false" ht="16.15" hidden="false" customHeight="false" outlineLevel="0" collapsed="false">
      <c r="A33" s="8" t="s">
        <v>30</v>
      </c>
      <c r="B33" s="9" t="n">
        <v>10</v>
      </c>
    </row>
    <row r="34" customFormat="false" ht="16.15" hidden="false" customHeight="false" outlineLevel="0" collapsed="false">
      <c r="A34" s="8" t="s">
        <v>22</v>
      </c>
      <c r="B34" s="9" t="n">
        <v>11</v>
      </c>
    </row>
    <row r="35" customFormat="false" ht="16.15" hidden="false" customHeight="false" outlineLevel="0" collapsed="false">
      <c r="A35" s="8" t="s">
        <v>23</v>
      </c>
      <c r="B35" s="9" t="n">
        <v>12</v>
      </c>
    </row>
    <row r="36" customFormat="false" ht="16.15" hidden="false" customHeight="false" outlineLevel="0" collapsed="false">
      <c r="A36" s="8" t="s">
        <v>31</v>
      </c>
      <c r="B36" s="9" t="n">
        <v>13</v>
      </c>
    </row>
    <row r="37" customFormat="false" ht="16.15" hidden="false" customHeight="false" outlineLevel="0" collapsed="false">
      <c r="A37" s="10" t="s">
        <v>25</v>
      </c>
      <c r="B37" s="1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28.46"/>
    <col collapsed="false" customWidth="true" hidden="false" outlineLevel="0" max="3" min="3" style="1" width="31.24"/>
    <col collapsed="false" customWidth="true" hidden="false" outlineLevel="0" max="4" min="4" style="1" width="22.03"/>
    <col collapsed="false" customWidth="true" hidden="false" outlineLevel="0" max="5" min="5" style="1" width="26.32"/>
    <col collapsed="false" customWidth="true" hidden="false" outlineLevel="0" max="6" min="6" style="1" width="20.32"/>
    <col collapsed="false" customWidth="true" hidden="false" outlineLevel="0" max="7" min="7" style="1" width="23.11"/>
  </cols>
  <sheetData>
    <row r="1" customFormat="false" ht="16.4" hidden="false" customHeight="false" outlineLevel="0" collapsed="false">
      <c r="A1" s="2" t="s">
        <v>0</v>
      </c>
      <c r="B1" s="18" t="s">
        <v>32</v>
      </c>
      <c r="C1" s="19" t="s">
        <v>33</v>
      </c>
      <c r="D1" s="19" t="s">
        <v>34</v>
      </c>
      <c r="E1" s="15" t="s">
        <v>35</v>
      </c>
      <c r="F1" s="19" t="s">
        <v>36</v>
      </c>
      <c r="G1" s="19" t="s">
        <v>37</v>
      </c>
    </row>
    <row r="2" customFormat="false" ht="16.05" hidden="false" customHeight="true" outlineLevel="0" collapsed="false">
      <c r="A2" s="5" t="s">
        <v>11</v>
      </c>
      <c r="B2" s="20" t="n">
        <v>2095057</v>
      </c>
      <c r="C2" s="21" t="n">
        <f aca="false">B2/B17</f>
        <v>0.831108640993844</v>
      </c>
      <c r="D2" s="22" t="n">
        <v>1676046</v>
      </c>
      <c r="E2" s="21" t="n">
        <f aca="false">D2/D17</f>
        <v>0.831108592068288</v>
      </c>
      <c r="F2" s="22" t="n">
        <v>419011</v>
      </c>
      <c r="G2" s="23" t="n">
        <f aca="false">F2/F17</f>
        <v>0.83110883669636</v>
      </c>
    </row>
    <row r="3" customFormat="false" ht="16.05" hidden="false" customHeight="true" outlineLevel="0" collapsed="false">
      <c r="A3" s="8" t="s">
        <v>12</v>
      </c>
      <c r="B3" s="24" t="n">
        <v>172846</v>
      </c>
      <c r="C3" s="25" t="n">
        <f aca="false">B3/B17</f>
        <v>0.0685679693493886</v>
      </c>
      <c r="D3" s="26" t="n">
        <v>138277</v>
      </c>
      <c r="E3" s="25" t="n">
        <f aca="false">D3/D17</f>
        <v>0.0685680481236354</v>
      </c>
      <c r="F3" s="26" t="n">
        <v>34569</v>
      </c>
      <c r="G3" s="27" t="n">
        <f aca="false">F3/F17</f>
        <v>0.0685676542519324</v>
      </c>
    </row>
    <row r="4" customFormat="false" ht="16.05" hidden="false" customHeight="true" outlineLevel="0" collapsed="false">
      <c r="A4" s="8" t="s">
        <v>13</v>
      </c>
      <c r="B4" s="24" t="n">
        <v>128014</v>
      </c>
      <c r="C4" s="25" t="n">
        <f aca="false">B4/B17</f>
        <v>0.0507831250262814</v>
      </c>
      <c r="D4" s="26" t="n">
        <v>102411</v>
      </c>
      <c r="E4" s="25" t="n">
        <f aca="false">D4/D17</f>
        <v>0.0507830107421308</v>
      </c>
      <c r="F4" s="26" t="n">
        <v>25603</v>
      </c>
      <c r="G4" s="27" t="n">
        <f aca="false">F4/F17</f>
        <v>0.0507835821635635</v>
      </c>
    </row>
    <row r="5" customFormat="false" ht="16.05" hidden="false" customHeight="true" outlineLevel="0" collapsed="false">
      <c r="A5" s="8" t="s">
        <v>14</v>
      </c>
      <c r="B5" s="24" t="n">
        <v>90694</v>
      </c>
      <c r="C5" s="25" t="n">
        <f aca="false">B5/B17</f>
        <v>0.0359782894147012</v>
      </c>
      <c r="D5" s="26" t="n">
        <v>72555</v>
      </c>
      <c r="E5" s="25" t="n">
        <f aca="false">D5/D17</f>
        <v>0.0359781795353556</v>
      </c>
      <c r="F5" s="26" t="n">
        <v>18139</v>
      </c>
      <c r="G5" s="27" t="n">
        <f aca="false">F5/F17</f>
        <v>0.0359787289327375</v>
      </c>
    </row>
    <row r="6" customFormat="false" ht="16.05" hidden="false" customHeight="true" outlineLevel="0" collapsed="false">
      <c r="A6" s="8" t="s">
        <v>15</v>
      </c>
      <c r="B6" s="24" t="n">
        <v>10286</v>
      </c>
      <c r="C6" s="25" t="n">
        <f aca="false">B6/B17</f>
        <v>0.00408045388801483</v>
      </c>
      <c r="D6" s="26" t="n">
        <v>8229</v>
      </c>
      <c r="E6" s="25" t="n">
        <f aca="false">D6/D17</f>
        <v>0.00408055184889313</v>
      </c>
      <c r="F6" s="26" t="n">
        <v>2057</v>
      </c>
      <c r="G6" s="27" t="n">
        <f aca="false">F6/F17</f>
        <v>0.00408006204391868</v>
      </c>
    </row>
    <row r="7" customFormat="false" ht="16.05" hidden="false" customHeight="true" outlineLevel="0" collapsed="false">
      <c r="A7" s="8" t="s">
        <v>16</v>
      </c>
      <c r="B7" s="24" t="n">
        <v>5931</v>
      </c>
      <c r="C7" s="25" t="n">
        <f aca="false">B7/B17</f>
        <v>0.00235282636688858</v>
      </c>
      <c r="D7" s="26" t="n">
        <v>4745</v>
      </c>
      <c r="E7" s="25" t="n">
        <f aca="false">D7/D17</f>
        <v>0.00235292484177882</v>
      </c>
      <c r="F7" s="26" t="n">
        <v>1186</v>
      </c>
      <c r="G7" s="27" t="n">
        <f aca="false">F7/F17</f>
        <v>0.00235243246674164</v>
      </c>
    </row>
    <row r="8" customFormat="false" ht="16.05" hidden="false" customHeight="true" outlineLevel="0" collapsed="false">
      <c r="A8" s="8" t="s">
        <v>17</v>
      </c>
      <c r="B8" s="24" t="n">
        <v>5385</v>
      </c>
      <c r="C8" s="25" t="n">
        <f aca="false">B8/B17</f>
        <v>0.00213622828961305</v>
      </c>
      <c r="D8" s="26" t="n">
        <v>4308</v>
      </c>
      <c r="E8" s="25" t="n">
        <f aca="false">D8/D17</f>
        <v>0.00213622765403228</v>
      </c>
      <c r="F8" s="26" t="n">
        <v>1077</v>
      </c>
      <c r="G8" s="27" t="n">
        <f aca="false">F8/F17</f>
        <v>0.00213623083193992</v>
      </c>
    </row>
    <row r="9" customFormat="false" ht="16.05" hidden="false" customHeight="true" outlineLevel="0" collapsed="false">
      <c r="A9" s="8" t="s">
        <v>18</v>
      </c>
      <c r="B9" s="24" t="n">
        <v>5228</v>
      </c>
      <c r="C9" s="25" t="n">
        <f aca="false">B9/B17</f>
        <v>0.00207394642490196</v>
      </c>
      <c r="D9" s="26" t="n">
        <v>4182</v>
      </c>
      <c r="E9" s="25" t="n">
        <f aca="false">D9/D17</f>
        <v>0.00207374745802298</v>
      </c>
      <c r="F9" s="26" t="n">
        <v>1046</v>
      </c>
      <c r="G9" s="27" t="n">
        <f aca="false">F9/F17</f>
        <v>0.00207474229360182</v>
      </c>
    </row>
    <row r="10" customFormat="false" ht="16.05" hidden="false" customHeight="true" outlineLevel="0" collapsed="false">
      <c r="A10" s="8" t="s">
        <v>19</v>
      </c>
      <c r="B10" s="24" t="n">
        <v>3219</v>
      </c>
      <c r="C10" s="25" t="n">
        <f aca="false">B10/B17</f>
        <v>0.00127697657646507</v>
      </c>
      <c r="D10" s="26" t="n">
        <v>2575</v>
      </c>
      <c r="E10" s="25" t="n">
        <f aca="false">D10/D17</f>
        <v>0.00127687702161864</v>
      </c>
      <c r="F10" s="26" t="n">
        <v>644</v>
      </c>
      <c r="G10" s="27" t="n">
        <f aca="false">F10/F17</f>
        <v>0.00127737479644319</v>
      </c>
    </row>
    <row r="11" customFormat="false" ht="16.05" hidden="false" customHeight="true" outlineLevel="0" collapsed="false">
      <c r="A11" s="8" t="s">
        <v>20</v>
      </c>
      <c r="B11" s="24" t="n">
        <v>1948</v>
      </c>
      <c r="C11" s="25" t="n">
        <f aca="false">B11/B17</f>
        <v>0.00077277116214786</v>
      </c>
      <c r="D11" s="26" t="n">
        <v>1558</v>
      </c>
      <c r="E11" s="25" t="n">
        <f aca="false">D11/D17</f>
        <v>0.000772572582400717</v>
      </c>
      <c r="F11" s="26" t="n">
        <v>390</v>
      </c>
      <c r="G11" s="27" t="n">
        <f aca="false">F11/F17</f>
        <v>0.000773565482318078</v>
      </c>
    </row>
    <row r="12" customFormat="false" ht="16.05" hidden="false" customHeight="true" outlineLevel="0" collapsed="false">
      <c r="A12" s="8" t="s">
        <v>21</v>
      </c>
      <c r="B12" s="24" t="n">
        <v>1470</v>
      </c>
      <c r="C12" s="25" t="n">
        <f aca="false">B12/B17</f>
        <v>0.000583148669587964</v>
      </c>
      <c r="D12" s="26" t="n">
        <v>1176</v>
      </c>
      <c r="E12" s="25" t="n">
        <f aca="false">D12/D17</f>
        <v>0.000583148496086806</v>
      </c>
      <c r="F12" s="26" t="n">
        <v>294</v>
      </c>
      <c r="G12" s="27" t="n">
        <f aca="false">F12/F17</f>
        <v>0.000583149363593628</v>
      </c>
    </row>
    <row r="13" customFormat="false" ht="16.05" hidden="false" customHeight="true" outlineLevel="0" collapsed="false">
      <c r="A13" s="8" t="s">
        <v>22</v>
      </c>
      <c r="B13" s="24" t="n">
        <v>652</v>
      </c>
      <c r="C13" s="25" t="n">
        <f aca="false">B13/B17</f>
        <v>0.0002586482534499</v>
      </c>
      <c r="D13" s="26" t="n">
        <v>522</v>
      </c>
      <c r="E13" s="25" t="n">
        <f aca="false">D13/D17</f>
        <v>0.000258846526324245</v>
      </c>
      <c r="F13" s="26" t="n">
        <v>130</v>
      </c>
      <c r="G13" s="27" t="n">
        <f aca="false">F13/F17</f>
        <v>0.000257855160772693</v>
      </c>
    </row>
    <row r="14" customFormat="false" ht="16.05" hidden="false" customHeight="true" outlineLevel="0" collapsed="false">
      <c r="A14" s="8" t="s">
        <v>23</v>
      </c>
      <c r="B14" s="24" t="n">
        <v>36</v>
      </c>
      <c r="C14" s="25" t="n">
        <f aca="false">B14/B17</f>
        <v>1.42811919082767E-005</v>
      </c>
      <c r="D14" s="26" t="n">
        <v>29</v>
      </c>
      <c r="E14" s="25" t="n">
        <f aca="false">D14/D17</f>
        <v>1.43803625735692E-005</v>
      </c>
      <c r="F14" s="26" t="n">
        <v>7</v>
      </c>
      <c r="G14" s="27" t="n">
        <f aca="false">F14/F17</f>
        <v>1.38845086569911E-005</v>
      </c>
    </row>
    <row r="15" customFormat="false" ht="16.05" hidden="false" customHeight="true" outlineLevel="0" collapsed="false">
      <c r="A15" s="8" t="s">
        <v>24</v>
      </c>
      <c r="B15" s="24" t="n">
        <v>21</v>
      </c>
      <c r="C15" s="25" t="n">
        <f aca="false">B15/B17</f>
        <v>8.33069527982806E-006</v>
      </c>
      <c r="D15" s="26" t="n">
        <v>17</v>
      </c>
      <c r="E15" s="25" t="n">
        <f aca="false">D15/D17</f>
        <v>8.42986771554056E-006</v>
      </c>
      <c r="F15" s="26" t="n">
        <v>4</v>
      </c>
      <c r="G15" s="27" t="n">
        <f aca="false">F15/F17</f>
        <v>7.93400494685209E-006</v>
      </c>
    </row>
    <row r="16" customFormat="false" ht="16.05" hidden="false" customHeight="true" outlineLevel="0" collapsed="false">
      <c r="A16" s="10" t="s">
        <v>25</v>
      </c>
      <c r="B16" s="28" t="n">
        <v>11</v>
      </c>
      <c r="C16" s="29" t="n">
        <f aca="false">B16/B17</f>
        <v>4.36369752752898E-006</v>
      </c>
      <c r="D16" s="30" t="n">
        <v>9</v>
      </c>
      <c r="E16" s="29" t="n">
        <f aca="false">D16/D17</f>
        <v>4.46287114352147E-006</v>
      </c>
      <c r="F16" s="30" t="n">
        <v>2</v>
      </c>
      <c r="G16" s="31" t="n">
        <f aca="false">F16/F17</f>
        <v>3.96700247342604E-006</v>
      </c>
    </row>
    <row r="17" customFormat="false" ht="16.05" hidden="false" customHeight="true" outlineLevel="0" collapsed="false">
      <c r="A17" s="12" t="s">
        <v>26</v>
      </c>
      <c r="B17" s="32" t="n">
        <f aca="false">SUM(B2:B16)</f>
        <v>2520798</v>
      </c>
      <c r="C17" s="33" t="n">
        <f aca="false">SUM(C2:C16)</f>
        <v>1</v>
      </c>
      <c r="D17" s="34" t="n">
        <f aca="false">SUM(D2:D16)</f>
        <v>2016639</v>
      </c>
      <c r="E17" s="33" t="n">
        <f aca="false">SUM(E2:E16)</f>
        <v>1</v>
      </c>
      <c r="F17" s="34" t="n">
        <f aca="false">SUM(F2:F16)</f>
        <v>504159</v>
      </c>
      <c r="G17" s="35" t="n">
        <f aca="false">SUM(G2:G16)</f>
        <v>1</v>
      </c>
    </row>
    <row r="18" customFormat="false" ht="16.05" hidden="false" customHeight="true" outlineLevel="0" collapsed="false">
      <c r="A18" s="14" t="s">
        <v>27</v>
      </c>
      <c r="B18" s="36" t="n">
        <v>48</v>
      </c>
      <c r="C18" s="36" t="n">
        <v>48</v>
      </c>
      <c r="D18" s="36" t="n">
        <v>48</v>
      </c>
      <c r="E18" s="36" t="n">
        <v>48</v>
      </c>
      <c r="F18" s="36" t="n">
        <v>48</v>
      </c>
      <c r="G18" s="37" t="n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V15" activeCellId="0" sqref="V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79"/>
    <col collapsed="false" customWidth="true" hidden="false" outlineLevel="0" max="2" min="2" style="1" width="20.24"/>
    <col collapsed="false" customWidth="true" hidden="false" outlineLevel="0" max="3" min="3" style="1" width="18.39"/>
    <col collapsed="false" customWidth="true" hidden="false" outlineLevel="0" max="4" min="4" style="1" width="20.71"/>
    <col collapsed="false" customWidth="true" hidden="false" outlineLevel="0" max="5" min="5" style="1" width="24.26"/>
  </cols>
  <sheetData>
    <row r="1" customFormat="false" ht="17.4" hidden="false" customHeight="true" outlineLevel="0" collapsed="false">
      <c r="A1" s="18"/>
      <c r="B1" s="18" t="s">
        <v>38</v>
      </c>
      <c r="C1" s="18"/>
      <c r="D1" s="18" t="s">
        <v>39</v>
      </c>
      <c r="E1" s="18"/>
    </row>
    <row r="2" customFormat="false" ht="31.3" hidden="false" customHeight="false" outlineLevel="0" collapsed="false">
      <c r="A2" s="18" t="s">
        <v>40</v>
      </c>
      <c r="B2" s="18" t="s">
        <v>41</v>
      </c>
      <c r="C2" s="18" t="s">
        <v>42</v>
      </c>
      <c r="D2" s="18" t="s">
        <v>41</v>
      </c>
      <c r="E2" s="18" t="s">
        <v>42</v>
      </c>
    </row>
    <row r="3" customFormat="false" ht="16.4" hidden="false" customHeight="false" outlineLevel="0" collapsed="false">
      <c r="A3" s="38" t="n">
        <v>1</v>
      </c>
      <c r="B3" s="39" t="n">
        <v>0.910714133492642</v>
      </c>
      <c r="C3" s="39" t="n">
        <v>0.910714133492642</v>
      </c>
      <c r="D3" s="40" t="n">
        <v>0.180110208036082</v>
      </c>
      <c r="E3" s="41" t="n">
        <v>0.180110208036082</v>
      </c>
    </row>
    <row r="4" customFormat="false" ht="16.4" hidden="false" customHeight="false" outlineLevel="0" collapsed="false">
      <c r="A4" s="38" t="n">
        <v>2</v>
      </c>
      <c r="B4" s="39" t="n">
        <v>0.0694969308571144</v>
      </c>
      <c r="C4" s="39" t="n">
        <v>0.980211064349756</v>
      </c>
      <c r="D4" s="40" t="n">
        <v>0.0943211627115037</v>
      </c>
      <c r="E4" s="41" t="n">
        <v>0.274431370747586</v>
      </c>
    </row>
    <row r="5" customFormat="false" ht="16.4" hidden="false" customHeight="false" outlineLevel="0" collapsed="false">
      <c r="A5" s="38" t="n">
        <v>3</v>
      </c>
      <c r="B5" s="42" t="n">
        <v>0.0136233386977053</v>
      </c>
      <c r="C5" s="42" t="n">
        <v>0.993834403047462</v>
      </c>
      <c r="D5" s="40" t="n">
        <v>0.0648260841377693</v>
      </c>
      <c r="E5" s="41" t="n">
        <v>0.339257454885355</v>
      </c>
    </row>
    <row r="6" customFormat="false" ht="16.4" hidden="false" customHeight="false" outlineLevel="0" collapsed="false">
      <c r="A6" s="38" t="n">
        <v>4</v>
      </c>
      <c r="B6" s="39" t="n">
        <v>0.00251352733051461</v>
      </c>
      <c r="C6" s="39" t="n">
        <v>0.996347930377976</v>
      </c>
      <c r="D6" s="40" t="n">
        <v>0.06384873447137</v>
      </c>
      <c r="E6" s="41" t="n">
        <v>0.403106189356725</v>
      </c>
    </row>
    <row r="7" customFormat="false" ht="16.4" hidden="false" customHeight="false" outlineLevel="0" collapsed="false">
      <c r="A7" s="38" t="n">
        <v>5</v>
      </c>
      <c r="B7" s="39" t="n">
        <v>0.00224466482775898</v>
      </c>
      <c r="C7" s="39" t="n">
        <v>0.998592595205735</v>
      </c>
      <c r="D7" s="40" t="n">
        <v>0.0495351817219687</v>
      </c>
      <c r="E7" s="41" t="n">
        <v>0.452641371078694</v>
      </c>
    </row>
    <row r="8" customFormat="false" ht="16.4" hidden="false" customHeight="false" outlineLevel="0" collapsed="false">
      <c r="A8" s="38" t="n">
        <v>6</v>
      </c>
      <c r="B8" s="39" t="n">
        <v>0.000924908405166059</v>
      </c>
      <c r="C8" s="39" t="n">
        <v>0.999517503610901</v>
      </c>
      <c r="D8" s="40" t="n">
        <v>0.0453679915863989</v>
      </c>
      <c r="E8" s="41" t="n">
        <v>0.498009362665092</v>
      </c>
    </row>
    <row r="9" customFormat="false" ht="16.4" hidden="false" customHeight="false" outlineLevel="0" collapsed="false">
      <c r="A9" s="38" t="n">
        <v>7</v>
      </c>
      <c r="B9" s="39" t="n">
        <v>0.000200440009646569</v>
      </c>
      <c r="C9" s="39" t="n">
        <v>0.999717943620548</v>
      </c>
      <c r="D9" s="40" t="n">
        <v>0.0429019574563623</v>
      </c>
      <c r="E9" s="41" t="n">
        <v>0.540911320121455</v>
      </c>
    </row>
    <row r="10" customFormat="false" ht="16.4" hidden="false" customHeight="false" outlineLevel="0" collapsed="false">
      <c r="A10" s="38" t="n">
        <v>8</v>
      </c>
      <c r="B10" s="39" t="n">
        <v>0.000172212409756321</v>
      </c>
      <c r="C10" s="39" t="n">
        <v>0.999890156030304</v>
      </c>
      <c r="D10" s="40" t="n">
        <v>0.0412642012975448</v>
      </c>
      <c r="E10" s="41" t="n">
        <v>0.582175521419</v>
      </c>
    </row>
    <row r="11" customFormat="false" ht="16.4" hidden="false" customHeight="false" outlineLevel="0" collapsed="false">
      <c r="A11" s="38" t="n">
        <v>9</v>
      </c>
      <c r="B11" s="39" t="n">
        <v>7.79993772353858E-005</v>
      </c>
      <c r="C11" s="39" t="n">
        <v>0.999968155407539</v>
      </c>
      <c r="D11" s="40" t="n">
        <v>0.0393340396936069</v>
      </c>
      <c r="E11" s="41" t="n">
        <v>0.621509561112607</v>
      </c>
    </row>
    <row r="12" customFormat="false" ht="16.4" hidden="false" customHeight="false" outlineLevel="0" collapsed="false">
      <c r="A12" s="38" t="n">
        <v>10</v>
      </c>
      <c r="B12" s="39" t="n">
        <v>2.97528237953098E-005</v>
      </c>
      <c r="C12" s="39" t="n">
        <v>0.999997908231335</v>
      </c>
      <c r="D12" s="40" t="n">
        <v>0.0332635764351064</v>
      </c>
      <c r="E12" s="41" t="n">
        <v>0.654773137547713</v>
      </c>
    </row>
    <row r="13" customFormat="false" ht="16.4" hidden="false" customHeight="false" outlineLevel="0" collapsed="false">
      <c r="A13" s="38" t="n">
        <v>11</v>
      </c>
      <c r="B13" s="39" t="n">
        <v>2.08121126414317E-006</v>
      </c>
      <c r="C13" s="39" t="n">
        <v>0.999999989442599</v>
      </c>
      <c r="D13" s="40" t="n">
        <v>0.0298595747372923</v>
      </c>
      <c r="E13" s="41" t="n">
        <v>0.684632712285005</v>
      </c>
    </row>
    <row r="14" customFormat="false" ht="16.4" hidden="false" customHeight="false" outlineLevel="0" collapsed="false">
      <c r="A14" s="38" t="n">
        <v>12</v>
      </c>
      <c r="B14" s="39" t="n">
        <v>3.68549787756513E-009</v>
      </c>
      <c r="C14" s="39" t="n">
        <v>0.999999993128097</v>
      </c>
      <c r="D14" s="40" t="n">
        <v>0.0263514148297935</v>
      </c>
      <c r="E14" s="41" t="n">
        <v>0.710984127114799</v>
      </c>
    </row>
    <row r="15" customFormat="false" ht="16.4" hidden="false" customHeight="false" outlineLevel="0" collapsed="false">
      <c r="A15" s="38" t="n">
        <v>13</v>
      </c>
      <c r="B15" s="39" t="n">
        <v>3.51073733990856E-009</v>
      </c>
      <c r="C15" s="39" t="n">
        <v>0.999999996638834</v>
      </c>
      <c r="D15" s="40" t="n">
        <v>0.0242197268135945</v>
      </c>
      <c r="E15" s="41" t="n">
        <v>0.735203853928393</v>
      </c>
    </row>
    <row r="16" customFormat="false" ht="16.4" hidden="false" customHeight="false" outlineLevel="0" collapsed="false">
      <c r="A16" s="38" t="n">
        <v>14</v>
      </c>
      <c r="B16" s="39" t="n">
        <v>2.38533520624666E-009</v>
      </c>
      <c r="C16" s="39" t="n">
        <v>0.999999999024169</v>
      </c>
      <c r="D16" s="40" t="n">
        <v>0.0219482679456683</v>
      </c>
      <c r="E16" s="41" t="n">
        <v>0.757152121874062</v>
      </c>
    </row>
    <row r="17" customFormat="false" ht="16.4" hidden="false" customHeight="false" outlineLevel="0" collapsed="false">
      <c r="A17" s="38" t="n">
        <v>15</v>
      </c>
      <c r="B17" s="39" t="n">
        <v>4.87417285580246E-010</v>
      </c>
      <c r="C17" s="39" t="n">
        <v>0.999999999511587</v>
      </c>
      <c r="D17" s="40" t="n">
        <v>0.0213006849372694</v>
      </c>
      <c r="E17" s="41" t="n">
        <v>0.778452806811331</v>
      </c>
    </row>
    <row r="18" customFormat="false" ht="16.4" hidden="false" customHeight="false" outlineLevel="0" collapsed="false">
      <c r="A18" s="38" t="n">
        <v>16</v>
      </c>
      <c r="B18" s="39" t="n">
        <v>1.78565063334055E-010</v>
      </c>
      <c r="C18" s="39" t="n">
        <v>0.999999999690152</v>
      </c>
      <c r="D18" s="40" t="n">
        <v>0.0212154449515073</v>
      </c>
      <c r="E18" s="41" t="n">
        <v>0.799668251762838</v>
      </c>
    </row>
    <row r="19" customFormat="false" ht="16.4" hidden="false" customHeight="false" outlineLevel="0" collapsed="false">
      <c r="A19" s="38" t="n">
        <v>17</v>
      </c>
      <c r="B19" s="39" t="n">
        <v>9.57320408239276E-011</v>
      </c>
      <c r="C19" s="39" t="n">
        <v>0.999999999785884</v>
      </c>
      <c r="D19" s="40" t="n">
        <v>0.0202943248399559</v>
      </c>
      <c r="E19" s="41" t="n">
        <v>0.819962576602794</v>
      </c>
    </row>
    <row r="20" customFormat="false" ht="16.4" hidden="false" customHeight="false" outlineLevel="0" collapsed="false">
      <c r="A20" s="38" t="n">
        <v>18</v>
      </c>
      <c r="B20" s="39" t="n">
        <v>7.94429451587481E-011</v>
      </c>
      <c r="C20" s="39" t="n">
        <v>0.999999999865327</v>
      </c>
      <c r="D20" s="40" t="n">
        <v>0.0194434116733263</v>
      </c>
      <c r="E20" s="41" t="n">
        <v>0.83940598827612</v>
      </c>
    </row>
    <row r="21" customFormat="false" ht="16.4" hidden="false" customHeight="false" outlineLevel="0" collapsed="false">
      <c r="A21" s="38" t="n">
        <v>19</v>
      </c>
      <c r="B21" s="39" t="n">
        <v>4.93216816074275E-011</v>
      </c>
      <c r="C21" s="39" t="n">
        <v>0.999999999914648</v>
      </c>
      <c r="D21" s="40" t="n">
        <v>0.0188016470713413</v>
      </c>
      <c r="E21" s="41" t="n">
        <v>0.858207635347462</v>
      </c>
    </row>
    <row r="22" customFormat="false" ht="16.4" hidden="false" customHeight="false" outlineLevel="0" collapsed="false">
      <c r="A22" s="38" t="n">
        <v>20</v>
      </c>
      <c r="B22" s="39" t="n">
        <v>4.14523778760264E-011</v>
      </c>
      <c r="C22" s="39" t="n">
        <v>0.999999999956101</v>
      </c>
      <c r="D22" s="40" t="n">
        <v>0.0181018694113488</v>
      </c>
      <c r="E22" s="41" t="n">
        <v>0.87630950475881</v>
      </c>
    </row>
    <row r="23" customFormat="false" ht="16.4" hidden="false" customHeight="false" outlineLevel="0" collapsed="false">
      <c r="A23" s="38" t="n">
        <v>21</v>
      </c>
      <c r="B23" s="39" t="n">
        <v>1.36581688267309E-011</v>
      </c>
      <c r="C23" s="39" t="n">
        <v>0.999999999969759</v>
      </c>
      <c r="D23" s="40" t="n">
        <v>0.0166467948780556</v>
      </c>
      <c r="E23" s="41" t="n">
        <v>0.892956299636866</v>
      </c>
    </row>
    <row r="24" customFormat="false" ht="16.4" hidden="false" customHeight="false" outlineLevel="0" collapsed="false">
      <c r="A24" s="38" t="n">
        <v>22</v>
      </c>
      <c r="B24" s="39" t="n">
        <v>1.24954084754751E-011</v>
      </c>
      <c r="C24" s="39" t="n">
        <v>0.999999999982254</v>
      </c>
      <c r="D24" s="40" t="n">
        <v>0.0149061899620548</v>
      </c>
      <c r="E24" s="41" t="n">
        <v>0.907862489598921</v>
      </c>
    </row>
    <row r="25" customFormat="false" ht="16.4" hidden="false" customHeight="false" outlineLevel="0" collapsed="false">
      <c r="A25" s="38" t="n">
        <v>23</v>
      </c>
      <c r="B25" s="39" t="n">
        <v>6.66390125698217E-012</v>
      </c>
      <c r="C25" s="39" t="n">
        <v>0.999999999988918</v>
      </c>
      <c r="D25" s="40" t="n">
        <v>0.0137378367770945</v>
      </c>
      <c r="E25" s="41" t="n">
        <v>0.921600326376015</v>
      </c>
    </row>
    <row r="26" customFormat="false" ht="16.4" hidden="false" customHeight="false" outlineLevel="0" collapsed="false">
      <c r="A26" s="38" t="n">
        <v>24</v>
      </c>
      <c r="B26" s="39" t="n">
        <v>6.15452936364057E-012</v>
      </c>
      <c r="C26" s="39" t="n">
        <v>0.999999999995073</v>
      </c>
      <c r="D26" s="40" t="n">
        <v>0.0119410078762751</v>
      </c>
      <c r="E26" s="41" t="n">
        <v>0.93354133425229</v>
      </c>
    </row>
    <row r="27" customFormat="false" ht="16.4" hidden="false" customHeight="false" outlineLevel="0" collapsed="false">
      <c r="A27" s="38" t="n">
        <v>25</v>
      </c>
      <c r="B27" s="39" t="n">
        <v>3.37741105643963E-012</v>
      </c>
      <c r="C27" s="39" t="n">
        <v>0.99999999999845</v>
      </c>
      <c r="D27" s="40" t="n">
        <v>0.0115329430115518</v>
      </c>
      <c r="E27" s="41" t="n">
        <v>0.945074277263842</v>
      </c>
    </row>
    <row r="28" customFormat="false" ht="16.4" hidden="false" customHeight="false" outlineLevel="0" collapsed="false">
      <c r="A28" s="38" t="n">
        <v>26</v>
      </c>
      <c r="B28" s="39" t="n">
        <v>9.60484938528405E-013</v>
      </c>
      <c r="C28" s="39" t="n">
        <v>0.999999999999411</v>
      </c>
      <c r="D28" s="40" t="n">
        <v>0.0100521793943754</v>
      </c>
      <c r="E28" s="41" t="n">
        <v>0.955126456658218</v>
      </c>
    </row>
    <row r="29" customFormat="false" ht="16.4" hidden="false" customHeight="false" outlineLevel="0" collapsed="false">
      <c r="A29" s="38" t="n">
        <v>27</v>
      </c>
      <c r="B29" s="39" t="n">
        <v>1.56179362984541E-013</v>
      </c>
      <c r="C29" s="39" t="n">
        <v>0.999999999999567</v>
      </c>
      <c r="D29" s="40" t="n">
        <v>0.0076671251820519</v>
      </c>
      <c r="E29" s="41" t="n">
        <v>0.962793581840269</v>
      </c>
    </row>
    <row r="30" customFormat="false" ht="16.4" hidden="false" customHeight="false" outlineLevel="0" collapsed="false">
      <c r="A30" s="38" t="n">
        <v>28</v>
      </c>
      <c r="B30" s="39" t="n">
        <v>1.15252276443089E-013</v>
      </c>
      <c r="C30" s="39" t="n">
        <v>0.999999999999682</v>
      </c>
      <c r="D30" s="40" t="n">
        <v>0.0066614213464101</v>
      </c>
      <c r="E30" s="41" t="n">
        <v>0.96945500318668</v>
      </c>
    </row>
    <row r="31" customFormat="false" ht="16.4" hidden="false" customHeight="false" outlineLevel="0" collapsed="false">
      <c r="A31" s="38" t="n">
        <v>29</v>
      </c>
      <c r="B31" s="39" t="n">
        <v>8.67629804606941E-014</v>
      </c>
      <c r="C31" s="39" t="n">
        <v>0.999999999999769</v>
      </c>
      <c r="D31" s="40" t="n">
        <v>0.00601002711167155</v>
      </c>
      <c r="E31" s="41" t="n">
        <v>0.975465030298351</v>
      </c>
    </row>
    <row r="32" customFormat="false" ht="16.4" hidden="false" customHeight="false" outlineLevel="0" collapsed="false">
      <c r="A32" s="38" t="n">
        <v>30</v>
      </c>
      <c r="B32" s="39" t="n">
        <v>6.70457704504433E-014</v>
      </c>
      <c r="C32" s="39" t="n">
        <v>0.999999999999836</v>
      </c>
      <c r="D32" s="40" t="n">
        <v>0.0053744720248952</v>
      </c>
      <c r="E32" s="41" t="n">
        <v>0.980839502323246</v>
      </c>
    </row>
    <row r="33" customFormat="false" ht="16.4" hidden="false" customHeight="false" outlineLevel="0" collapsed="false">
      <c r="A33" s="38" t="n">
        <v>31</v>
      </c>
      <c r="B33" s="39" t="n">
        <v>4.93016257432269E-014</v>
      </c>
      <c r="C33" s="39" t="n">
        <v>0.999999999999885</v>
      </c>
      <c r="D33" s="40" t="n">
        <v>0.0041566447488058</v>
      </c>
      <c r="E33" s="41" t="n">
        <v>0.984996147072052</v>
      </c>
    </row>
    <row r="34" customFormat="false" ht="16.4" hidden="false" customHeight="false" outlineLevel="0" collapsed="false">
      <c r="A34" s="38" t="n">
        <v>32</v>
      </c>
      <c r="B34" s="39" t="n">
        <v>3.588027382242E-014</v>
      </c>
      <c r="C34" s="39" t="n">
        <v>0.999999999999921</v>
      </c>
      <c r="D34" s="40" t="n">
        <v>0.00331594820632519</v>
      </c>
      <c r="E34" s="41" t="n">
        <v>0.988312095278377</v>
      </c>
    </row>
    <row r="35" customFormat="false" ht="16.4" hidden="false" customHeight="false" outlineLevel="0" collapsed="false">
      <c r="A35" s="38" t="n">
        <v>33</v>
      </c>
      <c r="B35" s="39" t="n">
        <v>2.36953001885263E-014</v>
      </c>
      <c r="C35" s="39" t="n">
        <v>0.999999999999945</v>
      </c>
      <c r="D35" s="43" t="n">
        <v>0.00209373762287292</v>
      </c>
      <c r="E35" s="44" t="n">
        <v>0.99040583290125</v>
      </c>
    </row>
    <row r="36" customFormat="false" ht="16.4" hidden="false" customHeight="false" outlineLevel="0" collapsed="false">
      <c r="A36" s="38" t="n">
        <v>34</v>
      </c>
      <c r="B36" s="39" t="n">
        <v>1.51216686981795E-014</v>
      </c>
      <c r="C36" s="39" t="n">
        <v>0.99999999999996</v>
      </c>
      <c r="D36" s="40" t="n">
        <v>0.00205723412998017</v>
      </c>
      <c r="E36" s="41" t="n">
        <v>0.99246306703123</v>
      </c>
    </row>
    <row r="37" customFormat="false" ht="16.4" hidden="false" customHeight="false" outlineLevel="0" collapsed="false">
      <c r="A37" s="38" t="n">
        <v>35</v>
      </c>
      <c r="B37" s="39" t="n">
        <v>1.12733671730351E-014</v>
      </c>
      <c r="C37" s="39" t="n">
        <v>0.999999999999971</v>
      </c>
      <c r="D37" s="40" t="n">
        <v>0.00198481778707188</v>
      </c>
      <c r="E37" s="41" t="n">
        <v>0.994447884818302</v>
      </c>
    </row>
    <row r="38" customFormat="false" ht="16.4" hidden="false" customHeight="false" outlineLevel="0" collapsed="false">
      <c r="A38" s="38" t="n">
        <v>36</v>
      </c>
      <c r="B38" s="39" t="n">
        <v>9.34680404274164E-015</v>
      </c>
      <c r="C38" s="39" t="n">
        <v>0.99999999999998</v>
      </c>
      <c r="D38" s="40" t="n">
        <v>0.00165115615202276</v>
      </c>
      <c r="E38" s="41" t="n">
        <v>0.996099040970325</v>
      </c>
    </row>
    <row r="39" customFormat="false" ht="16.4" hidden="false" customHeight="false" outlineLevel="0" collapsed="false">
      <c r="A39" s="38" t="n">
        <v>37</v>
      </c>
      <c r="B39" s="39" t="n">
        <v>5.58268503961259E-015</v>
      </c>
      <c r="C39" s="39" t="n">
        <v>0.999999999999986</v>
      </c>
      <c r="D39" s="40" t="n">
        <v>0.00118203625159272</v>
      </c>
      <c r="E39" s="41" t="n">
        <v>0.997281077221918</v>
      </c>
    </row>
    <row r="40" customFormat="false" ht="16.4" hidden="false" customHeight="false" outlineLevel="0" collapsed="false">
      <c r="A40" s="38" t="n">
        <v>38</v>
      </c>
      <c r="B40" s="39" t="n">
        <v>5.54151965979074E-015</v>
      </c>
      <c r="C40" s="39" t="n">
        <v>0.999999999999992</v>
      </c>
      <c r="D40" s="40" t="n">
        <v>0.000930183688891456</v>
      </c>
      <c r="E40" s="41" t="n">
        <v>0.998211260910809</v>
      </c>
    </row>
    <row r="41" customFormat="false" ht="16.4" hidden="false" customHeight="false" outlineLevel="0" collapsed="false">
      <c r="A41" s="38" t="n">
        <v>39</v>
      </c>
      <c r="B41" s="39" t="n">
        <v>2.39814578706265E-015</v>
      </c>
      <c r="C41" s="39" t="n">
        <v>0.999999999999994</v>
      </c>
      <c r="D41" s="40" t="n">
        <v>0.000848993891882606</v>
      </c>
      <c r="E41" s="41" t="n">
        <v>0.999060254802692</v>
      </c>
    </row>
    <row r="42" customFormat="false" ht="16.4" hidden="false" customHeight="false" outlineLevel="0" collapsed="false">
      <c r="A42" s="38" t="n">
        <v>40</v>
      </c>
      <c r="B42" s="39" t="n">
        <v>1.96131950133727E-015</v>
      </c>
      <c r="C42" s="39" t="n">
        <v>0.999999999999996</v>
      </c>
      <c r="D42" s="40" t="n">
        <v>0.000368140676244723</v>
      </c>
      <c r="E42" s="41" t="n">
        <v>0.999428395478936</v>
      </c>
    </row>
    <row r="43" customFormat="false" ht="16.4" hidden="false" customHeight="false" outlineLevel="0" collapsed="false">
      <c r="A43" s="38" t="n">
        <v>41</v>
      </c>
      <c r="B43" s="39" t="n">
        <v>1.43925155696265E-015</v>
      </c>
      <c r="C43" s="39" t="n">
        <v>0.999999999999997</v>
      </c>
      <c r="D43" s="40" t="n">
        <v>0.000259713932706314</v>
      </c>
      <c r="E43" s="41" t="n">
        <v>0.999688109411643</v>
      </c>
    </row>
    <row r="44" customFormat="false" ht="16.4" hidden="false" customHeight="false" outlineLevel="0" collapsed="false">
      <c r="A44" s="38" t="n">
        <v>42</v>
      </c>
      <c r="B44" s="39" t="n">
        <v>9.59429050393866E-016</v>
      </c>
      <c r="C44" s="39" t="n">
        <v>0.999999999999998</v>
      </c>
      <c r="D44" s="40" t="n">
        <v>0.00013320165257169</v>
      </c>
      <c r="E44" s="41" t="n">
        <v>0.999821311064214</v>
      </c>
    </row>
    <row r="45" customFormat="false" ht="16.4" hidden="false" customHeight="false" outlineLevel="0" collapsed="false">
      <c r="A45" s="38" t="n">
        <v>43</v>
      </c>
      <c r="B45" s="39" t="n">
        <v>9.22799312528119E-016</v>
      </c>
      <c r="C45" s="39" t="n">
        <v>0.999999999999999</v>
      </c>
      <c r="D45" s="40" t="n">
        <v>6.34881620113607E-005</v>
      </c>
      <c r="E45" s="41" t="n">
        <v>0.999884799226226</v>
      </c>
    </row>
    <row r="46" customFormat="false" ht="16.4" hidden="false" customHeight="false" outlineLevel="0" collapsed="false">
      <c r="A46" s="38" t="n">
        <v>44</v>
      </c>
      <c r="B46" s="39" t="n">
        <v>5.44861915053385E-016</v>
      </c>
      <c r="C46" s="39" t="n">
        <v>1</v>
      </c>
      <c r="D46" s="40" t="n">
        <v>5.89405929335018E-005</v>
      </c>
      <c r="E46" s="41" t="n">
        <v>0.999943739819159</v>
      </c>
    </row>
    <row r="47" customFormat="false" ht="16.4" hidden="false" customHeight="false" outlineLevel="0" collapsed="false">
      <c r="A47" s="38" t="n">
        <v>45</v>
      </c>
      <c r="B47" s="39" t="n">
        <v>4.98872071943319E-016</v>
      </c>
      <c r="C47" s="39" t="n">
        <v>1</v>
      </c>
      <c r="D47" s="40" t="n">
        <v>3.68919553225366E-005</v>
      </c>
      <c r="E47" s="41" t="n">
        <v>0.999980631774482</v>
      </c>
    </row>
    <row r="48" customFormat="false" ht="16.4" hidden="false" customHeight="false" outlineLevel="0" collapsed="false">
      <c r="A48" s="45" t="n">
        <v>46</v>
      </c>
      <c r="B48" s="39" t="n">
        <v>1.02782613046742E-017</v>
      </c>
      <c r="C48" s="39" t="n">
        <v>1</v>
      </c>
      <c r="D48" s="40" t="n">
        <v>1.08439931951831E-005</v>
      </c>
      <c r="E48" s="41" t="n">
        <v>0.999991475767677</v>
      </c>
    </row>
    <row r="49" customFormat="false" ht="16.4" hidden="false" customHeight="false" outlineLevel="0" collapsed="false">
      <c r="A49" s="46" t="n">
        <v>47</v>
      </c>
      <c r="B49" s="47" t="n">
        <v>1.19450251199327E-018</v>
      </c>
      <c r="C49" s="47" t="n">
        <v>1</v>
      </c>
      <c r="D49" s="48" t="n">
        <v>8.52423232284707E-006</v>
      </c>
      <c r="E49" s="49" t="n">
        <v>1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9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6" activeCellId="0" sqref="B16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0" width="19.1"/>
    <col collapsed="false" customWidth="true" hidden="false" outlineLevel="0" max="2" min="2" style="4" width="79.83"/>
    <col collapsed="false" customWidth="true" hidden="false" outlineLevel="0" max="3" min="3" style="4" width="15.62"/>
    <col collapsed="false" customWidth="true" hidden="false" outlineLevel="0" max="29" min="4" style="4" width="13.72"/>
    <col collapsed="false" customWidth="true" hidden="false" outlineLevel="0" max="31" min="30" style="4" width="15.77"/>
    <col collapsed="false" customWidth="true" hidden="false" outlineLevel="0" max="33" min="32" style="4" width="13.72"/>
    <col collapsed="false" customWidth="true" hidden="false" outlineLevel="0" max="45" min="34" style="4" width="14.12"/>
  </cols>
  <sheetData>
    <row r="1" customFormat="false" ht="60.65" hidden="false" customHeight="tru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47</v>
      </c>
      <c r="F1" s="18" t="s">
        <v>48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  <c r="X1" s="18" t="s">
        <v>66</v>
      </c>
      <c r="Y1" s="18" t="s">
        <v>67</v>
      </c>
      <c r="Z1" s="18" t="s">
        <v>68</v>
      </c>
      <c r="AA1" s="18" t="s">
        <v>69</v>
      </c>
      <c r="AB1" s="18" t="s">
        <v>70</v>
      </c>
      <c r="AC1" s="18" t="s">
        <v>71</v>
      </c>
      <c r="AD1" s="18" t="s">
        <v>72</v>
      </c>
      <c r="AE1" s="18" t="s">
        <v>73</v>
      </c>
      <c r="AF1" s="18" t="s">
        <v>74</v>
      </c>
      <c r="AG1" s="18" t="s">
        <v>75</v>
      </c>
      <c r="AH1" s="1"/>
      <c r="AI1" s="1"/>
      <c r="AJ1" s="1"/>
      <c r="AK1" s="1"/>
      <c r="AL1" s="1"/>
      <c r="AM1" s="1"/>
      <c r="AN1" s="1"/>
      <c r="AO1" s="1"/>
      <c r="AP1" s="1"/>
      <c r="AQ1" s="0"/>
      <c r="AR1" s="0"/>
      <c r="AS1" s="0"/>
    </row>
    <row r="2" customFormat="false" ht="22.85" hidden="false" customHeight="true" outlineLevel="0" collapsed="false">
      <c r="A2" s="18" t="s">
        <v>76</v>
      </c>
      <c r="B2" s="18" t="s">
        <v>77</v>
      </c>
      <c r="C2" s="18" t="n">
        <v>5</v>
      </c>
      <c r="D2" s="50" t="n">
        <v>0.998813469560198</v>
      </c>
      <c r="E2" s="50" t="n">
        <v>1.79284813536553E-005</v>
      </c>
      <c r="F2" s="50" t="n">
        <v>0.998787728756508</v>
      </c>
      <c r="G2" s="50" t="n">
        <v>2.13519990899306E-005</v>
      </c>
      <c r="H2" s="50" t="n">
        <v>0.998813469560198</v>
      </c>
      <c r="I2" s="50" t="n">
        <v>1.79284813536553E-005</v>
      </c>
      <c r="J2" s="50" t="n">
        <v>0.998760341270293</v>
      </c>
      <c r="K2" s="50" t="n">
        <v>1.31746047262447E-005</v>
      </c>
      <c r="L2" s="50" t="n">
        <v>0.905389693764037</v>
      </c>
      <c r="M2" s="50" t="n">
        <v>0.0332907067251648</v>
      </c>
      <c r="N2" s="50" t="n">
        <v>0.872219292520974</v>
      </c>
      <c r="O2" s="50" t="n">
        <v>0.0150573060470893</v>
      </c>
      <c r="P2" s="50" t="n">
        <v>0.877955793985864</v>
      </c>
      <c r="Q2" s="50" t="n">
        <v>0.0204794259294297</v>
      </c>
      <c r="R2" s="50" t="n">
        <v>0.00137252208305808</v>
      </c>
      <c r="S2" s="50" t="n">
        <v>0.000117515250817462</v>
      </c>
      <c r="T2" s="50" t="n">
        <v>0.00118653043980168</v>
      </c>
      <c r="U2" s="50" t="n">
        <v>1.79284813536575E-005</v>
      </c>
      <c r="V2" s="50" t="n">
        <v>0.00017060350152396</v>
      </c>
      <c r="W2" s="50" t="n">
        <v>8.87612498175609E-006</v>
      </c>
      <c r="X2" s="50" t="n">
        <v>0.127780707479026</v>
      </c>
      <c r="Y2" s="50" t="n">
        <v>0.0150573060470893</v>
      </c>
      <c r="Z2" s="50" t="n">
        <v>0.996057514489747</v>
      </c>
      <c r="AA2" s="50" t="n">
        <v>5.99951586574892E-005</v>
      </c>
      <c r="AB2" s="50" t="n">
        <v>0.00188507292145096</v>
      </c>
      <c r="AC2" s="50" t="n">
        <v>3.23308875721172E-005</v>
      </c>
      <c r="AD2" s="50" t="n">
        <v>61869.038815403</v>
      </c>
      <c r="AE2" s="50" t="n">
        <v>1095.6291699102</v>
      </c>
      <c r="AF2" s="50" t="n">
        <v>950.376479005814</v>
      </c>
      <c r="AG2" s="50" t="n">
        <v>16.2999079474628</v>
      </c>
      <c r="AH2" s="1"/>
      <c r="AI2" s="1"/>
      <c r="AJ2" s="1"/>
      <c r="AK2" s="1"/>
      <c r="AL2" s="1"/>
      <c r="AM2" s="1"/>
      <c r="AN2" s="1"/>
      <c r="AO2" s="1"/>
      <c r="AP2" s="1"/>
      <c r="AQ2" s="0"/>
      <c r="AR2" s="0"/>
      <c r="AS2" s="0"/>
    </row>
    <row r="3" customFormat="false" ht="19.5" hidden="false" customHeight="true" outlineLevel="0" collapsed="false">
      <c r="A3" s="18" t="s">
        <v>78</v>
      </c>
      <c r="B3" s="18" t="s">
        <v>79</v>
      </c>
      <c r="C3" s="18" t="n">
        <v>5</v>
      </c>
    </row>
    <row r="4" customFormat="false" ht="19.5" hidden="false" customHeight="true" outlineLevel="0" collapsed="false">
      <c r="A4" s="18" t="s">
        <v>80</v>
      </c>
      <c r="B4" s="18" t="s">
        <v>81</v>
      </c>
      <c r="C4" s="18" t="n">
        <v>5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>
      <c r="AL7" s="1"/>
      <c r="AM7" s="1"/>
      <c r="AN7" s="1"/>
      <c r="AO7" s="1"/>
      <c r="AP7" s="1"/>
      <c r="AQ7" s="1"/>
      <c r="AR7" s="1"/>
      <c r="AS7" s="1"/>
    </row>
    <row r="8" customFormat="false" ht="19.5" hidden="false" customHeight="true" outlineLevel="0" collapsed="false"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</row>
    <row r="9" customFormat="false" ht="19.5" hidden="false" customHeight="true" outlineLevel="0" collapsed="false"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</row>
    <row r="10" customFormat="false" ht="19.5" hidden="false" customHeight="true" outlineLevel="0" collapsed="false"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customFormat="false" ht="19.5" hidden="false" customHeight="true" outlineLevel="0" collapsed="false">
      <c r="I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customFormat="false" ht="19.5" hidden="false" customHeight="true" outlineLevel="0" collapsed="false"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customFormat="false" ht="19.5" hidden="false" customHeight="true" outlineLevel="0" collapsed="false"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customFormat="false" ht="19.5" hidden="false" customHeight="true" outlineLevel="0" collapsed="false"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customFormat="false" ht="19.5" hidden="false" customHeight="true" outlineLevel="0" collapsed="false"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customFormat="false" ht="19.5" hidden="false" customHeight="true" outlineLevel="0" collapsed="false"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customFormat="false" ht="19.5" hidden="false" customHeight="true" outlineLevel="0" collapsed="false"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customFormat="false" ht="19.5" hidden="false" customHeight="true" outlineLevel="0" collapsed="false"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customFormat="false" ht="19.5" hidden="false" customHeight="true" outlineLevel="0" collapsed="false"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customFormat="false" ht="19.5" hidden="false" customHeight="true" outlineLevel="0" collapsed="false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customFormat="false" ht="19.5" hidden="false" customHeight="true" outlineLevel="0" collapsed="false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customFormat="false" ht="19.5" hidden="false" customHeight="true" outlineLevel="0" collapsed="false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customFormat="false" ht="19.5" hidden="false" customHeight="true" outlineLevel="0" collapsed="false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customFormat="false" ht="19.5" hidden="false" customHeight="true" outlineLevel="0" collapsed="false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customFormat="false" ht="19.5" hidden="false" customHeight="true" outlineLevel="0" collapsed="false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customFormat="false" ht="19.5" hidden="false" customHeight="true" outlineLevel="0" collapsed="false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customFormat="false" ht="19.5" hidden="false" customHeight="true" outlineLevel="0" collapsed="false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customFormat="false" ht="16.4" hidden="false" customHeight="false" outlineLevel="0" collapsed="false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customFormat="false" ht="16.4" hidden="false" customHeight="fals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customFormat="false" ht="16.4" hidden="false" customHeight="fals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customFormat="false" ht="16.4" hidden="false" customHeight="fals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customFormat="false" ht="16.4" hidden="false" customHeight="fals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customFormat="false" ht="16.4" hidden="false" customHeight="fals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customFormat="false" ht="20.7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customFormat="false" ht="20.7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customFormat="false" ht="20.7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customFormat="false" ht="20.7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customFormat="false" ht="20.7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customFormat="false" ht="20.7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customFormat="false" ht="20.7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customFormat="false" ht="20.7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customFormat="false" ht="20.7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customFormat="false" ht="20.7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customFormat="false" ht="20.7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customFormat="false" ht="20.7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customFormat="false" ht="20.7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customFormat="false" ht="20.7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customFormat="false" ht="20.7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customFormat="false" ht="20.7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customFormat="false" ht="20.7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customFormat="false" ht="20.7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customFormat="false" ht="20.7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customFormat="false" ht="20.7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customFormat="false" ht="20.7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customFormat="false" ht="20.7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customFormat="false" ht="20.7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customFormat="false" ht="20.7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customFormat="false" ht="20.7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customFormat="false" ht="20.7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customFormat="false" ht="20.7" hidden="false" customHeight="true" outlineLevel="0" collapsed="false"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customFormat="false" ht="20.7" hidden="false" customHeight="true" outlineLevel="0" collapsed="false"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customFormat="false" ht="20.7" hidden="false" customHeight="true" outlineLevel="0" collapsed="false"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customFormat="false" ht="20.7" hidden="false" customHeight="true" outlineLevel="0" collapsed="false"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customFormat="false" ht="16.15" hidden="false" customHeight="false" outlineLevel="0" collapsed="false"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customFormat="false" ht="16.15" hidden="false" customHeight="false" outlineLevel="0" collapsed="false"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customFormat="false" ht="16.15" hidden="false" customHeight="false" outlineLevel="0" collapsed="false"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customFormat="false" ht="16.15" hidden="false" customHeight="false" outlineLevel="0" collapsed="false"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customFormat="false" ht="16.15" hidden="false" customHeight="false" outlineLevel="0" collapsed="false"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customFormat="false" ht="16.15" hidden="false" customHeight="false" outlineLevel="0" collapsed="false"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customFormat="false" ht="16.15" hidden="false" customHeight="false" outlineLevel="0" collapsed="false"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customFormat="false" ht="16.15" hidden="false" customHeight="false" outlineLevel="0" collapsed="false"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customFormat="false" ht="16.15" hidden="false" customHeight="false" outlineLevel="0" collapsed="false"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customFormat="false" ht="16.15" hidden="false" customHeight="false" outlineLevel="0" collapsed="false"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customFormat="false" ht="16.15" hidden="false" customHeight="false" outlineLevel="0" collapsed="false"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customFormat="false" ht="16.15" hidden="false" customHeight="false" outlineLevel="0" collapsed="false"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customFormat="false" ht="16.15" hidden="false" customHeight="false" outlineLevel="0" collapsed="false"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customFormat="false" ht="16.15" hidden="false" customHeight="false" outlineLevel="0" collapsed="false"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customFormat="false" ht="16.15" hidden="false" customHeight="false" outlineLevel="0" collapsed="false"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customFormat="false" ht="16.15" hidden="false" customHeight="false" outlineLevel="0" collapsed="false"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customFormat="false" ht="16.15" hidden="false" customHeight="false" outlineLevel="0" collapsed="false"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customFormat="false" ht="16.15" hidden="false" customHeight="false" outlineLevel="0" collapsed="false"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customFormat="false" ht="16.15" hidden="false" customHeight="false" outlineLevel="0" collapsed="false"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customFormat="false" ht="16.15" hidden="false" customHeight="false" outlineLevel="0" collapsed="false"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customFormat="false" ht="16.15" hidden="false" customHeight="false" outlineLevel="0" collapsed="false"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customFormat="false" ht="16.15" hidden="false" customHeight="false" outlineLevel="0" collapsed="false"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customFormat="false" ht="16.15" hidden="false" customHeight="false" outlineLevel="0" collapsed="false"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customFormat="false" ht="16.15" hidden="false" customHeight="false" outlineLevel="0" collapsed="false"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customFormat="false" ht="16.15" hidden="false" customHeight="false" outlineLevel="0" collapsed="false"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customFormat="false" ht="16.15" hidden="false" customHeight="false" outlineLevel="0" collapsed="false"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customFormat="false" ht="16.15" hidden="false" customHeight="false" outlineLevel="0" collapsed="false"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2026-05-29T11:05:44Z</dcterms:created>
  <dc:creator/>
  <dc:description/>
  <dc:language>es-ES</dc:language>
  <cp:lastModifiedBy/>
  <dcterms:modified xsi:type="dcterms:W3CDTF">2026-06-14T13:15:04Z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