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Hoja1" sheetId="1" state="visible" r:id="rId1"/>
    <sheet name="Experimento A" sheetId="2" state="visible" r:id="rId2"/>
    <sheet name="Experimento B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<sst xmlns="http://schemas.openxmlformats.org/spreadsheetml/2006/main" count="24" uniqueCount="24">
  <si>
    <t>Columna1</t>
  </si>
  <si>
    <t xml:space="preserve">Nº filas</t>
  </si>
  <si>
    <t>Preprocesamiento</t>
  </si>
  <si>
    <t>Undersampling</t>
  </si>
  <si>
    <t>SMOTE</t>
  </si>
  <si>
    <t>Prepración</t>
  </si>
  <si>
    <t>Benign</t>
  </si>
  <si>
    <t xml:space="preserve">DDoS attacks-LOIC-HTTP</t>
  </si>
  <si>
    <t xml:space="preserve">DoS attack-HOIC</t>
  </si>
  <si>
    <t xml:space="preserve">DoS attacks-Hulk</t>
  </si>
  <si>
    <t>Bot</t>
  </si>
  <si>
    <t>Infilteration</t>
  </si>
  <si>
    <t>SSH-Bruteforce</t>
  </si>
  <si>
    <t xml:space="preserve">DoS attacks-GoldenEye</t>
  </si>
  <si>
    <t xml:space="preserve">DoS attacks-Slowloris</t>
  </si>
  <si>
    <t xml:space="preserve">DoS attacks-LOIC-UDP</t>
  </si>
  <si>
    <t xml:space="preserve">Brute Force-Web</t>
  </si>
  <si>
    <t xml:space="preserve">Brute Force -XSS</t>
  </si>
  <si>
    <t xml:space="preserve">SQL Injection</t>
  </si>
  <si>
    <t xml:space="preserve">DoS attacks-SlowHTTPTest</t>
  </si>
  <si>
    <t>FTP-BruteForce</t>
  </si>
  <si>
    <t xml:space="preserve">TOTAL BENIGNOS</t>
  </si>
  <si>
    <t xml:space="preserve">TOTAL MALIGNOS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</si>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</sst>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Aptos Narrow"/>
      <scheme val="minor"/>
    </font>
    <font>
      <sz val="18.000000"/>
      <color theme="1"/>
      <name val="Aptos Narrow"/>
      <scheme val="minor"/>
    </font>
    <font>
      <b/>
      <sz val="18.000000"/>
      <color theme="1"/>
      <name val="Aptos Narrow"/>
      <scheme val="minor"/>
    </font>
    <font>
      <b/>
      <sz val="11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0" borderId="0" numFmtId="0" xfId="0" applyFont="1"/>
    <xf fontId="1" fillId="0" borderId="0" numFmtId="3" xfId="0" applyNumberFormat="1" applyFont="1"/>
    <xf fontId="2" fillId="0" borderId="0" numFmtId="0" xfId="0" applyFont="1"/>
    <xf fontId="3" fillId="0" borderId="0" numFmtId="0" xfId="0" applyFont="1"/>
  </cellXfs>
  <cellStyles count="1">
    <cellStyle name="Normal" xfId="0" builtinId="0"/>
  </cellStyles>
  <dxfs count="12">
    <dxf>
      <font>
        <b val="0"/>
        <i val="0"/>
        <strike val="0"/>
        <u val="none"/>
        <vertAlign val="baseline"/>
        <sz val="18.000000"/>
        <color theme="1"/>
        <name val="Aptos Narrow"/>
        <scheme val="minor"/>
      </font>
    </dxf>
    <dxf>
      <font>
        <b val="0"/>
        <i val="0"/>
        <strike val="0"/>
        <u val="none"/>
        <vertAlign val="baseline"/>
        <sz val="18.000000"/>
        <color theme="1"/>
        <name val="Aptos Narrow"/>
        <scheme val="minor"/>
      </font>
      <numFmt numFmtId="3" formatCode="#,##0"/>
    </dxf>
    <dxf>
      <font>
        <b val="0"/>
        <i val="0"/>
        <strike val="0"/>
        <u val="none"/>
        <vertAlign val="baseline"/>
        <sz val="18.000000"/>
        <color theme="1"/>
        <name val="Aptos Narrow"/>
        <scheme val="minor"/>
      </font>
      <numFmt numFmtId="3" formatCode="#,##0"/>
    </dxf>
    <dxf>
      <font>
        <b val="0"/>
        <i val="0"/>
        <strike val="0"/>
        <u val="none"/>
        <vertAlign val="baseline"/>
        <sz val="18.000000"/>
        <color theme="1"/>
        <name val="Aptos Narrow"/>
        <scheme val="minor"/>
      </font>
      <numFmt numFmtId="3" formatCode="#,##0"/>
    </dxf>
    <dxf>
      <font>
        <b val="0"/>
        <i val="0"/>
        <strike val="0"/>
        <u val="none"/>
        <vertAlign val="baseline"/>
        <sz val="18.000000"/>
        <color theme="1"/>
        <name val="Aptos Narrow"/>
        <scheme val="minor"/>
      </font>
      <numFmt numFmtId="3" formatCode="#,##0"/>
    </dxf>
    <dxf>
      <font>
        <b val="0"/>
        <i val="0"/>
        <strike val="0"/>
        <u val="none"/>
        <vertAlign val="baseline"/>
        <sz val="18.000000"/>
        <color theme="1"/>
        <name val="Aptos Narrow"/>
        <scheme val="minor"/>
      </font>
      <numFmt numFmtId="3" formatCode="#,##0"/>
    </dxf>
    <dxf>
      <font>
        <b val="0"/>
        <i val="0"/>
        <strike val="0"/>
        <u val="none"/>
        <vertAlign val="baseline"/>
        <sz val="18.000000"/>
        <color theme="1"/>
        <name val="Aptos Narrow"/>
        <scheme val="minor"/>
      </font>
    </dxf>
    <dxf>
      <font>
        <b val="0"/>
        <i val="0"/>
        <strike val="0"/>
        <u val="none"/>
        <vertAlign val="baseline"/>
        <sz val="18.000000"/>
        <color theme="1"/>
        <name val="Aptos Narrow"/>
        <scheme val="minor"/>
      </font>
      <numFmt numFmtId="3" formatCode="#,##0"/>
    </dxf>
    <dxf>
      <font>
        <b val="0"/>
        <i val="0"/>
        <strike val="0"/>
        <u val="none"/>
        <vertAlign val="baseline"/>
        <sz val="18.000000"/>
        <color theme="1"/>
        <name val="Aptos Narrow"/>
        <scheme val="minor"/>
      </font>
      <numFmt numFmtId="3" formatCode="#,##0"/>
    </dxf>
    <dxf>
      <font>
        <b val="0"/>
        <i val="0"/>
        <strike val="0"/>
        <u val="none"/>
        <vertAlign val="baseline"/>
        <sz val="18.000000"/>
        <color theme="1"/>
        <name val="Aptos Narrow"/>
        <scheme val="minor"/>
      </font>
      <numFmt numFmtId="3" formatCode="#,##0"/>
    </dxf>
    <dxf>
      <font>
        <b val="0"/>
        <i val="0"/>
        <strike val="0"/>
        <u val="none"/>
        <vertAlign val="baseline"/>
        <sz val="18.000000"/>
        <color theme="1"/>
        <name val="Aptos Narrow"/>
        <scheme val="minor"/>
      </font>
      <numFmt numFmtId="3" formatCode="#,##0"/>
    </dxf>
    <dxf>
      <font>
        <b val="0"/>
        <i val="0"/>
        <strike val="0"/>
        <u val="none"/>
        <vertAlign val="baseline"/>
        <sz val="18.000000"/>
        <color theme="1"/>
        <name val="Aptos Narrow"/>
        <scheme val="minor"/>
      </font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a1" ref="A1:F18">
  <autoFilter ref="A1:F18"/>
  <tableColumns count="6">
    <tableColumn id="1" name="Columna1" dataDxfId="0"/>
    <tableColumn id="2" name="Nº filas" dataDxfId="1"/>
    <tableColumn id="3" name="Preprocesamiento" dataDxfId="2"/>
    <tableColumn id="4" name="Undersampling" dataDxfId="3"/>
    <tableColumn id="5" name="SMOTE" dataDxfId="4"/>
    <tableColumn id="6" name="Prepración" dataDxfId="5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Tabla13" ref="A1:F18">
  <autoFilter ref="A1:F18"/>
  <tableColumns count="6">
    <tableColumn id="1" name="Columna1" dataDxfId="6"/>
    <tableColumn id="2" name="Nº filas" dataDxfId="7"/>
    <tableColumn id="3" name="Preprocesamiento" dataDxfId="8"/>
    <tableColumn id="4" name="Undersampling" dataDxfId="9"/>
    <tableColumn id="5" name="SMOTE" dataDxfId="10"/>
    <tableColumn id="6" name="Prepración" dataDxfId="11"/>
  </tableColumns>
  <tableStyleInfo name="TableStyleLight1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RowHeight="1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13" activeCellId="0" sqref="C13"/>
    </sheetView>
  </sheetViews>
  <sheetFormatPr baseColWidth="10" defaultRowHeight="15"/>
  <cols>
    <col bestFit="1" customWidth="1" min="1" max="1" width="38.7109375"/>
    <col customWidth="1" min="2" max="2" width="17.42578125"/>
    <col bestFit="1" customWidth="1" min="3" max="3" width="27"/>
    <col bestFit="1" customWidth="1" min="4" max="4" width="22.42578125"/>
    <col customWidth="1" min="5" max="5" width="17.42578125"/>
    <col customWidth="1" min="6" max="6" width="19.5703125"/>
  </cols>
  <sheetData>
    <row r="1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4">
      <c r="A2" s="1" t="s">
        <v>6</v>
      </c>
      <c r="B2" s="2">
        <v>13484708</v>
      </c>
      <c r="C2" s="2"/>
      <c r="D2" s="2">
        <v>2670478</v>
      </c>
      <c r="E2" s="2">
        <v>2670478</v>
      </c>
      <c r="F2" s="2">
        <v>2670478</v>
      </c>
    </row>
    <row r="3" ht="24">
      <c r="A3" s="1" t="s">
        <v>7</v>
      </c>
      <c r="B3" s="2">
        <v>576191</v>
      </c>
      <c r="C3" s="2"/>
      <c r="D3" s="2">
        <v>576175</v>
      </c>
      <c r="E3" s="2">
        <v>2670478</v>
      </c>
      <c r="F3" s="2">
        <v>2662397</v>
      </c>
    </row>
    <row r="4" ht="24">
      <c r="A4" s="1" t="s">
        <v>8</v>
      </c>
      <c r="B4" s="2">
        <v>686012</v>
      </c>
      <c r="C4" s="2"/>
      <c r="D4" s="2">
        <v>668461</v>
      </c>
      <c r="E4" s="2">
        <v>2670478</v>
      </c>
      <c r="F4" s="2">
        <v>2624128</v>
      </c>
    </row>
    <row r="5" ht="24">
      <c r="A5" s="1" t="s">
        <v>9</v>
      </c>
      <c r="B5" s="2">
        <v>461912</v>
      </c>
      <c r="C5" s="2"/>
      <c r="D5" s="2">
        <v>434873</v>
      </c>
      <c r="E5" s="2">
        <v>2670478</v>
      </c>
      <c r="F5" s="2">
        <v>2619503</v>
      </c>
    </row>
    <row r="6" ht="24">
      <c r="A6" s="1" t="s">
        <v>10</v>
      </c>
      <c r="B6" s="2">
        <v>286191</v>
      </c>
      <c r="C6" s="2"/>
      <c r="D6" s="2">
        <v>282310</v>
      </c>
      <c r="E6" s="2">
        <v>2670478</v>
      </c>
      <c r="F6" s="2">
        <v>2564312</v>
      </c>
    </row>
    <row r="7" ht="24">
      <c r="A7" s="1" t="s">
        <v>11</v>
      </c>
      <c r="B7" s="2">
        <v>161934</v>
      </c>
      <c r="C7" s="2"/>
      <c r="D7" s="2">
        <v>160604</v>
      </c>
      <c r="E7" s="2">
        <v>2670478</v>
      </c>
      <c r="F7" s="2">
        <v>2568208</v>
      </c>
    </row>
    <row r="8" ht="24">
      <c r="A8" s="1" t="s">
        <v>12</v>
      </c>
      <c r="B8" s="2">
        <v>187589</v>
      </c>
      <c r="C8" s="2"/>
      <c r="D8" s="2">
        <v>117322</v>
      </c>
      <c r="E8" s="2">
        <v>2670478</v>
      </c>
      <c r="F8" s="2">
        <v>2651832</v>
      </c>
    </row>
    <row r="9" ht="24">
      <c r="A9" s="1" t="s">
        <v>13</v>
      </c>
      <c r="B9" s="2">
        <v>41508</v>
      </c>
      <c r="C9" s="2"/>
      <c r="D9" s="2">
        <v>41455</v>
      </c>
      <c r="E9" s="2">
        <v>2670478</v>
      </c>
      <c r="F9" s="2">
        <v>2644234</v>
      </c>
    </row>
    <row r="10" ht="24">
      <c r="A10" s="1" t="s">
        <v>14</v>
      </c>
      <c r="B10" s="2">
        <v>10990</v>
      </c>
      <c r="C10" s="2"/>
      <c r="D10" s="2">
        <v>10285</v>
      </c>
      <c r="E10" s="2">
        <v>2670478</v>
      </c>
      <c r="F10" s="2">
        <v>2594302</v>
      </c>
    </row>
    <row r="11" ht="24">
      <c r="A11" s="1" t="s">
        <v>15</v>
      </c>
      <c r="B11" s="2">
        <v>1730</v>
      </c>
      <c r="C11" s="2"/>
      <c r="D11" s="2">
        <v>1730</v>
      </c>
      <c r="E11" s="2">
        <v>2670478</v>
      </c>
      <c r="F11" s="2">
        <v>2670478</v>
      </c>
    </row>
    <row r="12" ht="24">
      <c r="A12" s="1" t="s">
        <v>16</v>
      </c>
      <c r="B12" s="2">
        <v>611</v>
      </c>
      <c r="C12" s="2"/>
      <c r="D12" s="2">
        <v>611</v>
      </c>
      <c r="E12" s="2">
        <v>2670478</v>
      </c>
      <c r="F12" s="2">
        <v>2631280</v>
      </c>
    </row>
    <row r="13" ht="24">
      <c r="A13" s="1" t="s">
        <v>17</v>
      </c>
      <c r="B13" s="2">
        <v>230</v>
      </c>
      <c r="C13" s="2"/>
      <c r="D13" s="2">
        <v>230</v>
      </c>
      <c r="E13" s="2">
        <v>2670478</v>
      </c>
      <c r="F13" s="2">
        <v>2665959</v>
      </c>
    </row>
    <row r="14" ht="24">
      <c r="A14" s="1" t="s">
        <v>18</v>
      </c>
      <c r="B14" s="2">
        <v>87</v>
      </c>
      <c r="C14" s="2"/>
      <c r="D14" s="2">
        <v>87</v>
      </c>
      <c r="E14" s="2">
        <v>2670478</v>
      </c>
      <c r="F14" s="2">
        <v>2670476</v>
      </c>
    </row>
    <row r="15" ht="24">
      <c r="A15" s="1" t="s">
        <v>19</v>
      </c>
      <c r="B15" s="2">
        <v>139890</v>
      </c>
      <c r="C15" s="2"/>
      <c r="D15" s="2">
        <v>19462</v>
      </c>
      <c r="E15" s="2">
        <v>2670478</v>
      </c>
      <c r="F15" s="2">
        <v>2507163</v>
      </c>
    </row>
    <row r="16" ht="24">
      <c r="A16" s="1" t="s">
        <v>20</v>
      </c>
      <c r="B16" s="2">
        <v>193360</v>
      </c>
      <c r="C16" s="2"/>
      <c r="D16" s="2">
        <v>39346</v>
      </c>
      <c r="E16" s="2">
        <v>2670478</v>
      </c>
      <c r="F16" s="2">
        <v>2564142</v>
      </c>
    </row>
    <row r="17" ht="24">
      <c r="A17" s="3" t="s">
        <v>21</v>
      </c>
      <c r="B17" s="2">
        <f>SUM(B2)</f>
        <v>13484708</v>
      </c>
      <c r="C17" s="2">
        <f t="shared" ref="C17:F17" si="0">SUM(C2)</f>
        <v>0</v>
      </c>
      <c r="D17" s="2">
        <f t="shared" si="0"/>
        <v>2670478</v>
      </c>
      <c r="E17" s="2">
        <f t="shared" si="0"/>
        <v>2670478</v>
      </c>
      <c r="F17" s="2">
        <f t="shared" si="0"/>
        <v>2670478</v>
      </c>
    </row>
    <row r="18" ht="24">
      <c r="A18" s="3" t="s">
        <v>22</v>
      </c>
      <c r="B18" s="2">
        <f>SUM(B3:B16)</f>
        <v>2748235</v>
      </c>
      <c r="C18" s="2">
        <f t="shared" ref="C18:F18" si="1">SUM(C3:C16)</f>
        <v>0</v>
      </c>
      <c r="D18" s="2">
        <f t="shared" si="1"/>
        <v>2352951</v>
      </c>
      <c r="E18" s="2">
        <f t="shared" si="1"/>
        <v>37386692</v>
      </c>
      <c r="F18" s="2">
        <f t="shared" si="1"/>
        <v>36638414</v>
      </c>
    </row>
    <row r="19" ht="24">
      <c r="A19" s="3" t="s">
        <v>23</v>
      </c>
      <c r="B19" s="2">
        <f>SUM(B2:B16)</f>
        <v>16232943</v>
      </c>
      <c r="C19" s="2">
        <f>SUM(C2:C16)</f>
        <v>0</v>
      </c>
      <c r="D19" s="2">
        <f>SUM(D2:D16)</f>
        <v>5023429</v>
      </c>
      <c r="E19" s="2">
        <f>SUM(E2:E16)</f>
        <v>40057170</v>
      </c>
      <c r="F19" s="2">
        <f>SUM(F2:F16)</f>
        <v>39308892</v>
      </c>
    </row>
    <row r="20">
      <c r="C20" s="4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0" verticalDpi="0" copies="1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2" activeCellId="0" sqref="D2"/>
    </sheetView>
  </sheetViews>
  <sheetFormatPr baseColWidth="10" defaultRowHeight="14.25"/>
  <cols>
    <col bestFit="1" customWidth="1" min="1" max="1" width="38.7109375"/>
    <col customWidth="1" min="2" max="2" width="17.42578125"/>
    <col bestFit="1" customWidth="1" min="3" max="3" width="27"/>
    <col bestFit="1" customWidth="1" min="4" max="4" width="22.42578125"/>
    <col customWidth="1" min="5" max="5" width="17.42578125"/>
    <col customWidth="1" min="6" max="6" width="19.5703125"/>
  </cols>
  <sheetData>
    <row r="1" ht="21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1.75">
      <c r="A2" s="1" t="s">
        <v>6</v>
      </c>
      <c r="B2" s="2">
        <v>13484708</v>
      </c>
      <c r="C2" s="2"/>
      <c r="D2" s="2">
        <v>2670478</v>
      </c>
      <c r="E2" s="2">
        <v>2670478</v>
      </c>
      <c r="F2" s="2"/>
    </row>
    <row r="3" ht="21.75">
      <c r="A3" s="1" t="s">
        <v>7</v>
      </c>
      <c r="B3" s="2">
        <v>576191</v>
      </c>
      <c r="C3" s="2"/>
      <c r="D3" s="2">
        <v>576175</v>
      </c>
      <c r="E3" s="2">
        <v>190748</v>
      </c>
      <c r="F3" s="2"/>
    </row>
    <row r="4" ht="21.75">
      <c r="A4" s="1" t="s">
        <v>8</v>
      </c>
      <c r="B4" s="2">
        <v>686012</v>
      </c>
      <c r="C4" s="2"/>
      <c r="D4" s="2">
        <v>668461</v>
      </c>
      <c r="E4" s="2">
        <v>190748</v>
      </c>
      <c r="F4" s="2"/>
    </row>
    <row r="5" ht="21.75">
      <c r="A5" s="1" t="s">
        <v>9</v>
      </c>
      <c r="B5" s="2">
        <v>461912</v>
      </c>
      <c r="C5" s="2"/>
      <c r="D5" s="2">
        <v>434873</v>
      </c>
      <c r="E5" s="2">
        <v>190748</v>
      </c>
      <c r="F5" s="2"/>
    </row>
    <row r="6" ht="21.75">
      <c r="A6" s="1" t="s">
        <v>10</v>
      </c>
      <c r="B6" s="2">
        <v>286191</v>
      </c>
      <c r="C6" s="2"/>
      <c r="D6" s="2">
        <v>282310</v>
      </c>
      <c r="E6" s="2">
        <v>190748</v>
      </c>
      <c r="F6" s="2"/>
    </row>
    <row r="7" ht="21.75">
      <c r="A7" s="1" t="s">
        <v>11</v>
      </c>
      <c r="B7" s="2">
        <v>161934</v>
      </c>
      <c r="C7" s="2"/>
      <c r="D7" s="2">
        <v>160604</v>
      </c>
      <c r="E7" s="2">
        <v>189957</v>
      </c>
      <c r="F7" s="2"/>
    </row>
    <row r="8" ht="21.75">
      <c r="A8" s="1" t="s">
        <v>12</v>
      </c>
      <c r="B8" s="2">
        <v>187589</v>
      </c>
      <c r="C8" s="2"/>
      <c r="D8" s="2">
        <v>117322</v>
      </c>
      <c r="E8" s="2">
        <v>190195</v>
      </c>
      <c r="F8" s="2"/>
    </row>
    <row r="9" ht="21.75">
      <c r="A9" s="1" t="s">
        <v>13</v>
      </c>
      <c r="B9" s="2">
        <v>41508</v>
      </c>
      <c r="C9" s="2"/>
      <c r="D9" s="2">
        <v>41455</v>
      </c>
      <c r="E9" s="2">
        <v>189286</v>
      </c>
      <c r="F9" s="2"/>
    </row>
    <row r="10" ht="21.75">
      <c r="A10" s="1" t="s">
        <v>14</v>
      </c>
      <c r="B10" s="2">
        <v>10990</v>
      </c>
      <c r="C10" s="2"/>
      <c r="D10" s="2">
        <v>10285</v>
      </c>
      <c r="E10" s="2">
        <v>185522</v>
      </c>
      <c r="F10" s="2"/>
    </row>
    <row r="11" ht="21.75">
      <c r="A11" s="1" t="s">
        <v>15</v>
      </c>
      <c r="B11" s="2">
        <v>1730</v>
      </c>
      <c r="C11" s="2"/>
      <c r="D11" s="2">
        <v>1730</v>
      </c>
      <c r="E11" s="2">
        <v>190748</v>
      </c>
      <c r="F11" s="2"/>
    </row>
    <row r="12" ht="21.75">
      <c r="A12" s="1" t="s">
        <v>16</v>
      </c>
      <c r="B12" s="2">
        <v>611</v>
      </c>
      <c r="C12" s="2"/>
      <c r="D12" s="2">
        <v>611</v>
      </c>
      <c r="E12" s="2">
        <v>187945</v>
      </c>
      <c r="F12" s="2"/>
    </row>
    <row r="13" ht="21.75">
      <c r="A13" s="1" t="s">
        <v>17</v>
      </c>
      <c r="B13" s="2">
        <v>230</v>
      </c>
      <c r="C13" s="2"/>
      <c r="D13" s="2">
        <v>230</v>
      </c>
      <c r="E13" s="2">
        <v>190407</v>
      </c>
      <c r="F13" s="2"/>
    </row>
    <row r="14" ht="21.75">
      <c r="A14" s="1" t="s">
        <v>18</v>
      </c>
      <c r="B14" s="2">
        <v>87</v>
      </c>
      <c r="C14" s="2"/>
      <c r="D14" s="2">
        <v>87</v>
      </c>
      <c r="E14" s="2">
        <v>190748</v>
      </c>
      <c r="F14" s="2"/>
    </row>
    <row r="15" ht="21.75">
      <c r="A15" s="1" t="s">
        <v>19</v>
      </c>
      <c r="B15" s="2">
        <v>139890</v>
      </c>
      <c r="C15" s="2"/>
      <c r="D15" s="2">
        <v>19462</v>
      </c>
      <c r="E15" s="2">
        <v>179983</v>
      </c>
      <c r="F15" s="2"/>
    </row>
    <row r="16" ht="21.75">
      <c r="A16" s="1" t="s">
        <v>20</v>
      </c>
      <c r="B16" s="2">
        <v>193360</v>
      </c>
      <c r="C16" s="2"/>
      <c r="D16" s="2">
        <v>39346</v>
      </c>
      <c r="E16" s="2">
        <v>184603</v>
      </c>
      <c r="F16" s="2"/>
    </row>
    <row r="17" ht="21.75">
      <c r="A17" s="3" t="s">
        <v>21</v>
      </c>
      <c r="B17" s="2">
        <f>SUM(B2)</f>
        <v>13484708</v>
      </c>
      <c r="C17" s="2">
        <f t="shared" ref="C17:F17" si="2">SUM(C2)</f>
        <v>0</v>
      </c>
      <c r="D17" s="2">
        <f t="shared" si="2"/>
        <v>2670478</v>
      </c>
      <c r="E17" s="2">
        <f t="shared" si="2"/>
        <v>2670478</v>
      </c>
      <c r="F17" s="2">
        <f t="shared" si="2"/>
        <v>0</v>
      </c>
    </row>
    <row r="18" ht="21.75">
      <c r="A18" s="3" t="s">
        <v>22</v>
      </c>
      <c r="B18" s="2">
        <f>SUM(B3:B16)</f>
        <v>2748235</v>
      </c>
      <c r="C18" s="2">
        <f t="shared" ref="C18:F18" si="3">SUM(C3:C16)</f>
        <v>0</v>
      </c>
      <c r="D18" s="2">
        <f t="shared" si="3"/>
        <v>2352951</v>
      </c>
      <c r="E18" s="2">
        <f>SUM(E3:E16)</f>
        <v>2642386</v>
      </c>
      <c r="F18" s="2">
        <f t="shared" si="3"/>
        <v>0</v>
      </c>
    </row>
    <row r="19" ht="21.75">
      <c r="A19" s="3" t="s">
        <v>23</v>
      </c>
      <c r="B19" s="2">
        <f>SUM(B2:B16)</f>
        <v>16232943</v>
      </c>
      <c r="C19" s="2">
        <f>SUM(C2:C16)</f>
        <v>0</v>
      </c>
      <c r="D19" s="2">
        <f>SUM(D2:D16)</f>
        <v>5023429</v>
      </c>
      <c r="E19" s="2">
        <f>SUM(E2:E16)</f>
        <v>5312864</v>
      </c>
      <c r="F19" s="2">
        <f>SUM(F2:F16)</f>
        <v>0</v>
      </c>
    </row>
    <row r="20">
      <c r="C20" s="4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0" verticalDpi="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Labrador Muñoz</dc:creator>
  <cp:revision>1</cp:revision>
  <dcterms:created xsi:type="dcterms:W3CDTF">2025-11-09T10:11:18Z</dcterms:created>
  <dcterms:modified xsi:type="dcterms:W3CDTF">2025-12-21T18:20:29Z</dcterms:modified>
</cp:coreProperties>
</file>