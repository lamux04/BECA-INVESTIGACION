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ripts-CIC18" sheetId="1" state="visible" r:id="rId3"/>
    <sheet name="CIC18" sheetId="2" state="visible" r:id="rId4"/>
    <sheet name="Scripts-CIC17" sheetId="3" state="visible" r:id="rId5"/>
    <sheet name="CIC17" sheetId="4" state="visible" r:id="rId6"/>
    <sheet name="Scripts-BCCC17" sheetId="5" state="visible" r:id="rId7"/>
    <sheet name="BCCC17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<sst xmlns="http://schemas.openxmlformats.org/spreadsheetml/2006/main" count="369" uniqueCount="205">
  <si>
    <t xml:space="preserve">TÉCNICA</t>
  </si>
  <si>
    <t xml:space="preserve">NOMBRE SCRIPT</t>
  </si>
  <si>
    <t xml:space="preserve">DESCRIPCIÓN DEL SCRIPT</t>
  </si>
  <si>
    <t xml:space="preserve">DATASET ANTERIOR</t>
  </si>
  <si>
    <t xml:space="preserve">DATASET GENERADO</t>
  </si>
  <si>
    <t xml:space="preserve">MODELOS</t>
  </si>
  <si>
    <t xml:space="preserve">CIC18_eda_v1.ipynb</t>
  </si>
  <si>
    <t xml:space="preserve">Análisis inicial de los datos básicos</t>
  </si>
  <si>
    <t xml:space="preserve">CIC18</t>
  </si>
  <si>
    <t xml:space="preserve">-</t>
  </si>
  <si>
    <t xml:space="preserve">CIC18_analisis_estadistico_v1.ipynb</t>
  </si>
  <si>
    <t xml:space="preserve">Análisis estadístico de los datos:
- N.º de filas.
- N.º de columnas.
- Distribución de clases.</t>
  </si>
  <si>
    <t xml:space="preserve">CIC18_preprocessing_cleanning_v1.ipynb</t>
  </si>
  <si>
    <t xml:space="preserve">Limpieza de los datos básica:
- Homogeneización de nombres de columnas (ABCD_EFGH).
- Eliminación de columnas inútiles (FLOW_ID, SRC_IP, SRC_PORT, DST_IP).
- Eliminación de columnas con valores únicos.
- Codificación de columnas de tipo string.
- Eliminación de columnas con alta correlación &gt; 0.95.
- Eliminación de valores infinito, vacío y nulo.
- Eliminación de filas duplicadas.
- Eliminación de patrones con la etiqueta LABEL = “Label”.
- Codificación de la etiqueta label.</t>
  </si>
  <si>
    <t xml:space="preserve">CIC18__cleanning__v1.csv</t>
  </si>
  <si>
    <t xml:space="preserve">CIC18_analisis_estadistico_v2.ipynb</t>
  </si>
  <si>
    <t xml:space="preserve">CIC18__cleanning__v1__RUS_v1.ipynb</t>
  </si>
  <si>
    <t xml:space="preserve">Hacemos un undersampling de las clases mayoritarias. Concrentamente, todas las clases con mas de 450000 datos les haremos RUS hasta 450000 datos.</t>
  </si>
  <si>
    <t xml:space="preserve">CIC18__cleanning_RUS__v1.csv</t>
  </si>
  <si>
    <t xml:space="preserve">CIC18__cleanning_RUS__v1_division_80_20_v1.ipynb</t>
  </si>
  <si>
    <t xml:space="preserve">Dividir el dataset en dos datasets de forma stratified. La división es 80% para trainning y 20% para test</t>
  </si>
  <si>
    <t xml:space="preserve">- CIC18__sin_balanceo__v1__train.csv
- CIC18__sin_balanceo__v1__test.csv</t>
  </si>
  <si>
    <t xml:space="preserve">SIN BALANCEO</t>
  </si>
  <si>
    <t xml:space="preserve">CIC18__sin_balanceo__v1__transformar_v1.ipynb</t>
  </si>
  <si>
    <t xml:space="preserve">Divide el dataset en 5 particiones iguales de forma stratified. Además, convierte el dataset a string.</t>
  </si>
  <si>
    <t xml:space="preserve">CIC18__sin_balanceo__v1__train.csv
CIC18__sin_balanceo__v1__test.csv</t>
  </si>
  <si>
    <t xml:space="preserve">pd_CIC18__sin_balanceo__v1__train.csv
pd_CIC18__sin_balanceo__v1__test.csv
pd_CIC18__sin_balanceo__v1__train__1.csv
pd_CIC18__sin_balanceo__v1__val__1.csv
pd_CIC18__sin_balanceo__v1__train__2.csv
pd_CIC18__sin_balanceo__v1__val__2.csv
pd_CIC18__sin_balanceo__v1__train__3.csv
pd_CIC18__sin_balanceo__v1__val__3.csv
pd_CIC18__sin_balanceo__v1__train__4.csv
pd_CIC18__sin_balanceo__v1__val__4.csv
pd_CIC18__sin_balanceo__v1__train__5.csv
Pd_CIC18__sin_balanceo__v1__val__5.csv</t>
  </si>
  <si>
    <t xml:space="preserve">ENN</t>
  </si>
  <si>
    <t xml:space="preserve">CIC18__sin_balanceo__v1__ENN_v1.ipynb</t>
  </si>
  <si>
    <t xml:space="preserve">Aplicar la técnica ENN.</t>
  </si>
  <si>
    <t xml:space="preserve">CIC18__ENN__v1__train.csv
CIC18__ENN__v1__test.csv</t>
  </si>
  <si>
    <t xml:space="preserve">CIC18__ENN__v1__transformar_v1.ipynb</t>
  </si>
  <si>
    <t xml:space="preserve">pd_CIC18__ENN__v1__train.csv
pd_CIC18__ENN__v1__test.csv
pd_CIC18__ENN__v1__train__1.csv
pd_CIC18__ENN__v1__val__1.csv
pd_CIC18__ENN__v1__train__2.csv
pd_CIC18__ENN__v1__val__2.csv
pd_CIC18__ENN__v1__train__3.csv
pd_CIC18__ENN__v1__val__3.csv
pd_CIC18__ENN__v1__train__4.csv
pd_CIC18__ENN__v1__val__4.csv
pd_CIC18__ENN__v1__train__5.csv
Pd_CIC18__ENN__v1__val__5.csv</t>
  </si>
  <si>
    <t xml:space="preserve">RUS/SMOTE</t>
  </si>
  <si>
    <t xml:space="preserve">CIC18__sin_balanceo__v1__RUS_SMOTE_v1.ipynb</t>
  </si>
  <si>
    <t xml:space="preserve">Aplicar la técnica RUS/SMOTE. Todo lo que este por encima de 10000 hacemos RUS y lo que este por debajo hacemos SMOTE. Hacemos dos test: uno con los datos que sobran (test_nuevo) y otro que sea el test original (test)</t>
  </si>
  <si>
    <t xml:space="preserve">CIC18__RUS_SMOTE__v1__train.csv
CIC18__RUS_SMOTE__v1__test.csv
CIC18__RUS_SMOTE__v1__test_nuevo.csv</t>
  </si>
  <si>
    <t xml:space="preserve">CIC18__RUS_SMOTE__v1__transformar_v1.ipynb</t>
  </si>
  <si>
    <t xml:space="preserve">pd_CIC18__RUS_SMOTE__v1__train.csv
pd_CIC18__RUS_SMOTE__v1__test.csv
pd_CIC18__RUS_SMOTE__v1__test_nuevo.csv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</si>
  <si>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pd_CIC18__RUS_SMOTE__v1__training_v1__1_5.ipynb
pd_CIC18__RUS_SMOTE__v1__training_v1__2_5.ipynb
pd_CIC18__RUS_SMOTE__v1__training_v1__3_5.ipynb
pd_CIC18__RUS_SMOTE__v1__training_v1__4_5.ipynb
pd_CIC18__RUS_SMOTE__v1__training_v1__5_5.ipynb</t>
  </si>
  <si>
    <t xml:space="preserve">Entrenamiento con Simple T5.
source_max_token_len=150,              
target_max_token_len=3,             
batch_size=16,             
precision=32,             
max_epochs=10,             
use_gpu=True,             
dataloader_num_workers=16</t>
  </si>
  <si>
    <t xml:space="preserve">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</si>
  <si>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pd_CIC18__RUS_SMOTE__v1__outputs</t>
  </si>
  <si>
    <t xml:space="preserve">pd_CIC18__RUS_SMOTE__v1__validation_epochs_v1__1_5.ipynb
pd_CIC18__RUS_SMOTE__v1__validation_epochs_v1__2_5.ipynb
pd_CIC18__RUS_SMOTE__v1__validation_epochs_v1__3_5.ipynb
pd_CIC18__RUS_SMOTE__v1__validation_epochs_v1__4_5.ipynb
pd_CIC18__RUS_SMOTE__v1__validation_epochs_v1__5_5.ipynb</t>
  </si>
  <si>
    <t xml:space="preserve">Validación de cada epoch y elección del mejor epoch</t>
  </si>
  <si>
    <t xml:space="preserve">
pd_CIC18__RUS_SMOTE__v1__train__1.csv
pd_CIC18__RUS_SMOTE__v1__val__1.csv
pd_CIC18__RUS_SMOTE__v1__train__2.csv
pd_CIC18__RUS_SMOTE__v1__val__2.csv
pd_CIC18__RUS_SMOTE__v1__train__3.csv
pd_CIC18__RUS_SMOTE__v1__val__3.csv
pd_CIC18__RUS_SMOTE__v1__train__4.csv
pd_CIC18__RUS_SMOTE__v1__val__4.csv
pd_CIC18__RUS_SMOTE__v1__train__5.csv
Pd_CIC18__RUS_SMOTE__v1__val__5.csv</t>
  </si>
  <si>
    <t xml:space="preserve">RUS/SMOTE + ENN</t>
  </si>
  <si>
    <t xml:space="preserve">CIC18__RUS_SMOTE__v1__ENN_v1.ipynb</t>
  </si>
  <si>
    <t xml:space="preserve">CIC18__RUS_SMOTE__v1__train.csv CIC18__RUS_SMOTE__v1__test.csv CIC18__RUS_SMOTE__v1__test_nuevo.csv</t>
  </si>
  <si>
    <t xml:space="preserve">CIC18__RUS_SMOTE_ENN__v1__train.csv CIC18__RUS_SMOTE_ENN__v1__test.csv CIC18__RUS_SMOTE_ENN__v1__test_nuevo.csv</t>
  </si>
  <si>
    <t xml:space="preserve">CIC18__RUS_SMOTE_ENN__v1__transformar_v1.ipynb</t>
  </si>
  <si>
    <t xml:space="preserve">pd_CIC18__RUS_SMOTE_ENN__v1__train.csv
pd_CIC18__RUS_SMOTE_ENN__v1__test.csv
pd_CIC18__RUS_SMOTE_ENN__v1__test_nuevo.csv
pd_CIC18__RUS_SMOTE_ENN__v1__train__1.csv
pd_CIC18__RUS_SMOTE_ENN__v1__val__1.csv
pd_CIC18__RUS_SMOTE_ENN__v1__train__2.csv
pd_CIC18__RUS_SMOTE_ENN__v1__val__2.csv
pd_CIC18__RUS_SMOTE_ENN__v1__train__3.csv
pd_CIC18__RUS_SMOTE_ENN__v1__val__3.csv
pd_CIC18__RUS_SMOTE_ENN__v1__train__4.csv
pd_CIC18__RUS_SMOTE_ENN__v1__val__4.csv
pd_CIC18__RUS_SMOTE_ENN__v1__train__5.csv
Pd_CIC18__RUS_SMOTE_ENN__v1__val__5.csv</t>
  </si>
  <si>
    <t xml:space="preserve">NearMiss/SMOTE</t>
  </si>
  <si>
    <t xml:space="preserve">CIC18__sin_balanceo__v1__NearMiss_SMOTE_v1.ipynb</t>
  </si>
  <si>
    <t xml:space="preserve">CIC18__NearMiss_SMOTE__v1__train.csv
CIC18__NearMiss_SMOTE__v1__test.csv
CIC18__NearMiss_SMOTE__v1__test_nuevo.csv</t>
  </si>
  <si>
    <t xml:space="preserve">CIC18__NearMiss_SMOTE__v1__transformar_v1.ipynb</t>
  </si>
  <si>
    <t xml:space="preserve">pd_CIC18__NearMiss_SMOTE__v1__train.csv
pd_CIC18__NearMiss_SMOTE__v1__test.csv
pd_CIC18__NearMiss_SMOTE__v1__test_nuevo.csv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</si>
  <si>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pd_CIC18__NearMiss_SMOTE__v1__training_v1__1_5.ipynb
pd_CIC18__NearMiss_SMOTE__v1__training_v1__2_5.ipynb
pd_CIC18__NearMiss_SMOTE__v1__training_v1__3_5.ipynb
pd_CIC18__NearMiss_SMOTE__v1__training_v1__4_5.ipynb
pd_CIC18__NearMiss_SMOTE__v1__training_v1__5_5.ipynb</t>
  </si>
  <si>
    <t xml:space="preserve">Entrenamiento con Simple T5. 2 horas por epoch
source_max_token_len=150,              
target_max_token_len=3,             
batch_size=16,             
precision=32,             
max_epochs=10,             
use_gpu=True,             
dataloader_num_workers=16</t>
  </si>
  <si>
    <t xml:space="preserve">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</si>
  <si>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pd_CIC18__NearMiss_SMOTE__v1__outputs</t>
  </si>
  <si>
    <t xml:space="preserve">pd_CIC18__NearMiss_SMOTE__v1__validation_epochs_v1__1_5.ipynb
pd_CIC18__NearMiss_SMOTE__v1__validation_epochs_v1__2_5.ipynb
pd_CIC18__NearMiss_SMOTE__v1__validation_epochs_v1__3_5.ipynb
pd_CIC18__NearMiss_SMOTE__v1__validation_epochs_v1__4_5.ipynb
pd_CIC18__NearMiss_SMOTE__v1__validation_epochs_v1__5_5.ipynb</t>
  </si>
  <si>
    <t xml:space="preserve">
pd_CIC18__NearMiss_SMOTE__v1__train__1.csv
pd_CIC18__NearMiss_SMOTE__v1__val__1.csv
pd_CIC18__NearMiss_SMOTE__v1__train__2.csv
pd_CIC18__NearMiss_SMOTE__v1__val__2.csv
pd_CIC18__NearMiss_SMOTE__v1__train__3.csv
pd_CIC18__NearMiss_SMOTE__v1__val__3.csv
pd_CIC18__NearMiss_SMOTE__v1__train__4.csv
pd_CIC18__NearMiss_SMOTE__v1__val__4.csv
pd_CIC18__NearMiss_SMOTE__v1__train__5.csv
Pd_CIC18__NearMiss_SMOTE__v1__val__5.csv</t>
  </si>
  <si>
    <t xml:space="preserve">NearMiss/SMOTE + ENN</t>
  </si>
  <si>
    <t xml:space="preserve">CIC18__NearMiss_SMOTE__v1__ENN_v1.ipynb</t>
  </si>
  <si>
    <t xml:space="preserve">CIC18__NearMiss_SMOTE__v1__train.csv CIC18__NearMiss_SMOTE__v1__test.csv CIC18__NearMiss_SMOTE__v1__test_nuevo.csv</t>
  </si>
  <si>
    <t xml:space="preserve">CIC18__NearMiss_SMOTE_ENN__v1__train.csv CIC18__NearMiss_SMOTE_ENN__v1__test.csv CIC18__NearMiss_SMOTE_ENN__v1__test_nuevo.csv</t>
  </si>
  <si>
    <t xml:space="preserve">CIC18__NearMiss_SMOTE_ENN__v1__transformar_v1.ipynb</t>
  </si>
  <si>
    <t xml:space="preserve">pd_CIC18__NearMiss_SMOTE_ENN__v1__train.csv
pd_CIC18__NearMiss_SMOTE_ENN__v1__test.csv
pd_CIC18__NearMiss_SMOTE_ENN__v1__test_nuevo.csv
pd_CIC18__NearMiss_SMOTE_ENN__v1__train__1.csv
pd_CIC18__NearMiss_SMOTE_ENN__v1__val__1.csv
pd_CIC18__NearMiss_SMOTE_ENN__v1__train__2.csv
pd_CIC18__NearMiss_SMOTE_ENN__v1__val__2.csv
pd_CIC18__NearMiss_SMOTE_ENN__v1__train__3.csv
pd_CIC18__NearMiss_SMOTE_ENN__v1__val__3.csv
pd_CIC18__NearMiss_SMOTE_ENN__v1__train__4.csv
pd_CIC18__NearMiss_SMOTE_ENN__v1__val__4.csv
pd_CIC18__NearMiss_SMOTE_ENN__v1__train__5.csv
Pd_CIC18__NearMiss_SMOTE_ENN__v1__val__5.csv</t>
  </si>
  <si>
    <t xml:space="preserve">CLASE ORIGINAL</t>
  </si>
  <si>
    <t xml:space="preserve">NUEVA CLASE</t>
  </si>
  <si>
    <t xml:space="preserve">ORIGINAL (CIC18)</t>
  </si>
  <si>
    <t xml:space="preserve">LIMPIADO</t>
  </si>
  <si>
    <t xml:space="preserve">RUS básico</t>
  </si>
  <si>
    <t xml:space="preserve">Train (80%)</t>
  </si>
  <si>
    <t xml:space="preserve">BENIGN</t>
  </si>
  <si>
    <t xml:space="preserve">DDOS attack-HOIC</t>
  </si>
  <si>
    <t xml:space="preserve">DDoS attacks-LOIC-HTTP</t>
  </si>
  <si>
    <t xml:space="preserve">DoS attacks-Hulk</t>
  </si>
  <si>
    <t xml:space="preserve">Bot</t>
  </si>
  <si>
    <t xml:space="preserve">Infilteration</t>
  </si>
  <si>
    <t xml:space="preserve">SSH-Bruteforce</t>
  </si>
  <si>
    <t xml:space="preserve">DoS attacks-GoldenEye</t>
  </si>
  <si>
    <t xml:space="preserve">FTP-BruteForce</t>
  </si>
  <si>
    <t xml:space="preserve">DoS attacks-SlowHTTPTest</t>
  </si>
  <si>
    <t xml:space="preserve">DoS attacks-Slowloris</t>
  </si>
  <si>
    <t xml:space="preserve">DDOS attack-LOIC-UDP</t>
  </si>
  <si>
    <t xml:space="preserve">Brute Force -Web</t>
  </si>
  <si>
    <t xml:space="preserve">Brute Force -XSS</t>
  </si>
  <si>
    <t xml:space="preserve">SQL Injection</t>
  </si>
  <si>
    <t xml:space="preserve">COLUMNAS:</t>
  </si>
  <si>
    <t xml:space="preserve">CARPETA MODELOS GENERADOS</t>
  </si>
  <si>
    <t xml:space="preserve">CIC17_eda_v1.ipynb</t>
  </si>
  <si>
    <t xml:space="preserve">CIC17</t>
  </si>
  <si>
    <t xml:space="preserve">CIC17_preprocessing_cleanning_v1.ipynb</t>
  </si>
  <si>
    <t xml:space="preserve">Limpieza de los datos básica:
- Homogeneización de nombres de columnas (ABCD_EFGH).
- No se eliminan columnas (no hay inútiles).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</si>
  <si>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CIC17__cleanning__v1.csv</t>
  </si>
  <si>
    <t xml:space="preserve">CIC17_analisis_estadistico_v1.ipynb</t>
  </si>
  <si>
    <t xml:space="preserve">CIC17_analisis_estadistico_v2.ipynb</t>
  </si>
  <si>
    <t xml:space="preserve">CIC17__cleanning__v1_division_80_20_v1.ipynb</t>
  </si>
  <si>
    <t xml:space="preserve">CIC17__sin_balanceo__v1__train.csv
CIC17__sin_balanceo__v1__test.csv</t>
  </si>
  <si>
    <t xml:space="preserve">CIC17__sin_balanceo__v1__transformar_v1.ipynb</t>
  </si>
  <si>
    <t xml:space="preserve">pd_CIC17__sin_balanceo__v1__train.csv
pd_CIC17__sin_balanceo__v1__test.csv
pd_CIC17__sin_balanceo__v1__train__1.csv
pd_CIC17__sin_balanceo__v1__val__1.csv
pd_CIC17__sin_balanceo__v1__train__2.csv
pd_CIC17__sin_balanceo__v1__val__2.csv
pd_CIC17__sin_balanceo__v1__train__3.csv
pd_CIC17__sin_balanceo__v1__val__3.csv
pd_CIC17__sin_balanceo__v1__train__4.csv
pd_CIC17__sin_balanceo__v1__val__4.csv
pd_CIC17__sin_balanceo__v1__train__5.csv
Pd_CIC17__sin_balanceo__v1__val__5.csv</t>
  </si>
  <si>
    <t xml:space="preserve">CIC17__sin_balanceo__v1__ENN_v1.ipynb</t>
  </si>
  <si>
    <t xml:space="preserve">CIC17__ENN__v1__train.csv
CIC17__ENN__v1__test.csv</t>
  </si>
  <si>
    <t xml:space="preserve">CIC17__ENN__v1__transformar_v1.ipynb</t>
  </si>
  <si>
    <t xml:space="preserve">pd_CIC17__ENN__v1__train.csv
pd_CIC17__ENN__v1__test.csv
pd_CIC17__ENN__v1__train__1.csv
pd_CIC17__ENN__v1__val__1.csv
pd_CIC17__ENN__v1__train__2.csv
pd_CIC17__ENN__v1__val__2.csv
pd_CIC17__ENN__v1__train__3.csv
pd_CIC17__ENN__v1__val__3.csv
pd_CIC17__ENN__v1__train__4.csv
pd_CIC17__ENN__v1__val__4.csv
pd_CIC17__ENN__v1__train__5.csv
Pd_CIC17__ENN__v1__val__5.csv</t>
  </si>
  <si>
    <t xml:space="preserve">CIC17__sin_balanceo__v1__RUS_SMOTE_v1.ipynb</t>
  </si>
  <si>
    <t xml:space="preserve">CIC17__RUS_SMOTE__v1__train.csv
CIC17__RUS_SMOTE__v1__test.csv
CIC17__RUS_SMOTE__v1__test_nuevo.csv</t>
  </si>
  <si>
    <t xml:space="preserve">CIC17__RUS_SMOTE__v1__transformar_v1.ipynb</t>
  </si>
  <si>
    <t xml:space="preserve">pd_CIC17__RUS_SMOTE__v1__train.csv
pd_CIC17__RUS_SMOTE__v1__test.csv
CIC17__RUS_SMOTE__v1__test_nuevo.csv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</si>
  <si>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pd_CIC17__RUS_SMOTE__v1__training_v1__1_5.ipynb
pd_CIC17__RUS_SMOTE__v1__training_v1__2_5.ipynb
pd_CIC17__RUS_SMOTE__v1__training_v1__3_5.ipynb
pd_CIC17__RUS_SMOTE__v1__training_v1__4_5.ipynb
pd_CIC17__RUS_SMOTE__v1__training_v1__5_5.ipynb</t>
  </si>
  <si>
    <t xml:space="preserve">pd_CIC17__RUS_SMOTE__v1__train__1.csv
pd_CIC17__RUS_SMOTE__v1__train__2.csv
pd_CIC17__RUS_SMOTE__v1__train__3.csv
pd_CIC17__RUS_SMOTE__v1__train__4.csv
pd_CIC17__RUS_SMOTE__v1__train__5.csv</t>
  </si>
  <si>
    <t xml:space="preserve">pd_CIC17__RUS_SMOTE__v1__outputs</t>
  </si>
  <si>
    <t xml:space="preserve">pd_CIC17__RUS_SMOTE__v1__validation_epochs_v1__1_5.ipynb
pd_CIC17__RUS_SMOTE__v1__validation_epochs_v1__2_5.ipynb
pd_CIC17__RUS_SMOTE__v1__validation_epochs_v1__3_5.ipynb
pd_CIC17__RUS_SMOTE__v1__validation_epochs_v1__4_5.ipynb
pd_CIC17__RUS_SMOTE__v1__validation_epochs_v1__5_5.ipynb</t>
  </si>
  <si>
    <t xml:space="preserve">
pd_CIC17__RUS_SMOTE__v1__train__1.csv
pd_CIC17__RUS_SMOTE__v1__val__1.csv
pd_CIC17__RUS_SMOTE__v1__train__2.csv
pd_CIC17__RUS_SMOTE__v1__val__2.csv
pd_CIC17__RUS_SMOTE__v1__train__3.csv
pd_CIC17__RUS_SMOTE__v1__val__3.csv
pd_CIC17__RUS_SMOTE__v1__train__4.csv
pd_CIC17__RUS_SMOTE__v1__val__4.csv
pd_CIC17__RUS_SMOTE__v1__train__5.csv
Pd_CIC17__RUS_SMOTE__v1__val__5.csv</t>
  </si>
  <si>
    <t xml:space="preserve">CIC17__RUS_SMOTE__v1__ENN_v1.ipynb</t>
  </si>
  <si>
    <t xml:space="preserve">CIC17__RUS_SMOTE__v1__train.csv CIC17__RUS_SMOTE__v1__test.csv CIC17__RUS_SMOTE__v1__test_nuevo.csv</t>
  </si>
  <si>
    <t xml:space="preserve">CIC17__RUS_SMOTE_ENN__v1__train.csv CIC17__RUS_SMOTE_ENN__v1__test.csv CIC17__RUS_SMOTE_ENN__v1__test_nuevo.csv</t>
  </si>
  <si>
    <t xml:space="preserve">CIC17__RUS_SMOTE_ENN__v1__transformar_v1.ipynb</t>
  </si>
  <si>
    <t xml:space="preserve">pd_CIC17__RUS_SMOTE_ENN__v1__train.csv
pd_CIC17__RUS_SMOTE_ENN__v1__test.csv
pd_CIC17__RUS_SMOTE_ENN__v1__test_nuevo.csv
pd_CIC17__RUS_SMOTE_ENN__v1__train__1.csv
pd_CIC17__RUS_SMOTE_ENN__v1__val__1.csv
pd_CIC17__RUS_SMOTE_ENN__v1__train__2.csv
pd_CIC17__RUS_SMOTE_ENN__v1__val__2.csv
pd_CIC17__RUS_SMOTE_ENN__v1__train__3.csv
pd_CIC17__RUS_SMOTE_ENN__v1__val__3.csv
pd_CIC17__RUS_SMOTE_ENN__v1__train__4.csv
pd_CIC17__RUS_SMOTE_ENN__v1__val__4.csv
pd_CIC17__RUS_SMOTE_ENN__v1__train__5.csv
Pd_CIC17__RUS_SMOTE_ENN__v1__val__5.csv</t>
  </si>
  <si>
    <t xml:space="preserve">CIC17__sin_balanceo__v1__NearMiss_SMOTE_v1.ipynb</t>
  </si>
  <si>
    <t xml:space="preserve">CIC17__NearMiss_SMOTE__v1__train.csv
CIC17__NearMiss_SMOTE__v1__test.csv
CIC17__NearMiss_SMOTE__v1__test_nuevo.csv</t>
  </si>
  <si>
    <t xml:space="preserve">CIC17__NearMiss_SMOTE__v1__transformar_v1.ipynb</t>
  </si>
  <si>
    <t xml:space="preserve">pd_CIC17__NearMiss_SMOTE__v1__train.csv
pd_CIC17__NearMiss_SMOTE__v1__test.csv
pd_CIC17__NearMiss_SMOTE__v1__test_nuevo.csv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</si>
  <si>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pd_CIC17__NearMiss_SMOTE__v1__training_v1__1_5.ipynb
pd_CIC17__NearMiss_SMOTE__v1__training_v1__2_5.ipynb
pd_CIC17__NearMiss_SMOTE__v1__training_v1__3_5.ipynb
pd_CIC17__NearMiss_SMOTE__v1__training_v1__4_5.ipynb
pd_CIC17__NearMiss_SMOTE__v1__training_v1__5_5.ipynb</t>
  </si>
  <si>
    <t xml:space="preserve">pd_CIC17__NearMiss_SMOTE__v1__train__1.csv
pd_CIC17__NearMiss_SMOTE__v1__train__2.csv
pd_CIC17__NearMiss_SMOTE__v1__train__3.csv
pd_CIC17__NearMiss_SMOTE__v1__train__4.csv
pd_CIC17__NearMiss_SMOTE__v1__train__5.csv</t>
  </si>
  <si>
    <t xml:space="preserve">pd_CIC17__NearMiss_SMOTE__v1__outputs</t>
  </si>
  <si>
    <t xml:space="preserve">pd_CIC17__NearMiss_SMOTE__v1__validation_epochs_v1__1_5.ipynb
pd_CIC17__NearMiss_SMOTE__v1__validation_epochs_v1__2_5.ipynb
pd_CIC17__NearMiss_SMOTE__v1__validation_epochs_v1__3_5.ipynb
pd_CIC17__NearMiss_SMOTE__v1__validation_epochs_v1__4_5.ipynb
pd_CIC17__NearMiss_SMOTE__v1__validation_epochs_v1__5_5.ipynb</t>
  </si>
  <si>
    <t xml:space="preserve">
pd_CIC17__NearMiss_SMOTE__v1__train__1.csv
pd_CIC17__NearMiss_SMOTE__v1__val__1.csv
pd_CIC17__NearMiss_SMOTE__v1__train__2.csv
pd_CIC17__NearMiss_SMOTE__v1__val__2.csv
pd_CIC17__NearMiss_SMOTE__v1__train__3.csv
pd_CIC17__NearMiss_SMOTE__v1__val__3.csv
pd_CIC17__NearMiss_SMOTE__v1__train__4.csv
pd_CIC17__NearMiss_SMOTE__v1__val__4.csv
pd_CIC17__NearMiss_SMOTE__v1__train__5.csv
Pd_CIC17__NearMiss_SMOTE__v1__val__5.csv</t>
  </si>
  <si>
    <t xml:space="preserve">CIC17__NearMiss_SMOTE__v1__ENN_v1.ipynb</t>
  </si>
  <si>
    <t xml:space="preserve">CIC17__NearMiss_SMOTE__v1__train.csv CIC17__NearMiss_SMOTE__v1__test.csv CIC17__NearMiss_SMOTE__v1__test_nuevo.csv</t>
  </si>
  <si>
    <t xml:space="preserve">CIC17__NearMiss_SMOTE_ENN__v1__train.csv CIC17__NearMiss_SMOTE_ENN__v1__test.csv CIC17__NearMiss_SMOTE_ENN__v1__test_nuevo.csv</t>
  </si>
  <si>
    <t xml:space="preserve">CIC17__NearMiss_SMOTE_ENN__v1__transformar_v1.ipynb</t>
  </si>
  <si>
    <t xml:space="preserve">pd_CIC17__NearMiss_SMOTE_ENN__v1__train.csv
pd_CIC17__NearMiss_SMOTE_ENN__v1__test.csv
pd_CIC17__NearMiss_SMOTE_ENN__v1__test_nuevo.csv
pd_CIC17__NearMiss_SMOTE_ENN__v1__train__1.csv
pd_CIC17__NearMiss_SMOTE_ENN__v1__val__1.csv
pd_CIC17__NearMiss_SMOTE_ENN__v1__train__2.csv
pd_CIC17__NearMiss_SMOTE_ENN__v1__val__2.csv
pd_CIC17__NearMiss_SMOTE_ENN__v1__train__3.csv
pd_CIC17__NearMiss_SMOTE_ENN__v1__val__3.csv
pd_CIC17__NearMiss_SMOTE_ENN__v1__train__4.csv
pd_CIC17__NearMiss_SMOTE_ENN__v1__val__4.csv
pd_CIC17__NearMiss_SMOTE_ENN__v1__train__5.csv
Pd_CIC17__NearMiss_SMOTE_ENN__v1__val__5.csv</t>
  </si>
  <si>
    <t xml:space="preserve">ORIGINAL (CIC17)</t>
  </si>
  <si>
    <t xml:space="preserve">80% (train)</t>
  </si>
  <si>
    <t xml:space="preserve">DoS Hulk</t>
  </si>
  <si>
    <t xml:space="preserve">DdoS</t>
  </si>
  <si>
    <t xml:space="preserve">PortScan</t>
  </si>
  <si>
    <t xml:space="preserve">Dos GoldenEye</t>
  </si>
  <si>
    <t xml:space="preserve">FTP-Patator</t>
  </si>
  <si>
    <t xml:space="preserve">DoS slowloris</t>
  </si>
  <si>
    <t xml:space="preserve">DoS Slowhttptest</t>
  </si>
  <si>
    <t xml:space="preserve">SSH-Patator</t>
  </si>
  <si>
    <t xml:space="preserve">Web Attack Brute Force</t>
  </si>
  <si>
    <t xml:space="preserve">Web Attack XSS</t>
  </si>
  <si>
    <t xml:space="preserve">Infiltration</t>
  </si>
  <si>
    <t xml:space="preserve">Web Attack SQL Injection</t>
  </si>
  <si>
    <t xml:space="preserve">Heartbleed</t>
  </si>
  <si>
    <t xml:space="preserve">MODELOS GENERADOS</t>
  </si>
  <si>
    <t xml:space="preserve">BCCC17_eda_v1.ipynb</t>
  </si>
  <si>
    <t xml:space="preserve">BCCC17</t>
  </si>
  <si>
    <t xml:space="preserve">BCCC17_analisis_estadistico_v1.ipynb</t>
  </si>
  <si>
    <t xml:space="preserve">BCCC17_preprocessing_cleanning_v1.ipynb</t>
  </si>
  <si>
    <t xml:space="preserve">Limpieza de los datos básica:
- Homogeneización de nombres de columnas (ABCD_EFGH).
- Eliminación de columnas inútiles (FLOW_ID, SRC_IP, SRC_PORT, DST_IP).
- Codificación de columnas de tipo string.
- Eliminación de columnas con valores únicos.
- Eliminación de columnas con alta correlación &gt; 0.95.
- Eliminación de valores infinito, vacío y nulo.
- Eliminación de filas duplicadas.
- Codificación de la etiqueta label</t>
  </si>
  <si>
    <t xml:space="preserve">BCCC17__cleanning__v1.csv</t>
  </si>
  <si>
    <t xml:space="preserve">BCCC17_analisis_estadistico_v2.ipynb</t>
  </si>
  <si>
    <t xml:space="preserve">BCCC17__cleanning__v1_division_80_20_v1.ipynb</t>
  </si>
  <si>
    <t xml:space="preserve">- BCCC17__sin_balanceo__v1__train.csv
- BCCC17__sin_balanceo__v1__test.csv</t>
  </si>
  <si>
    <t xml:space="preserve">BCCC17__sin_balanceo__v1__transformar_v1.ipynb</t>
  </si>
  <si>
    <t xml:space="preserve">BCCC17__sin_balanceo__v1__train.csv
BCCC17__sin_balanceo__v1__test.csv</t>
  </si>
  <si>
    <t xml:space="preserve">pd_BCCC17__sin_balanceo__v1__train.csv
pd_BCCC17__sin_balanceo__v1__test.csv
pd_BCCC17__sin_balanceo__v1__train__1.csv
pd_BCCC17__sin_balanceo__v1__val__1.csv
pd_BCCC17__sin_balanceo__v1__train__2.csv
pd_BCCC17__sin_balanceo__v1__val__2.csv
pd_BCCC17__sin_balanceo__v1__train__3.csv
pd_BCCC17__sin_balanceo__v1__val__3.csv
pd_BCCC17__sin_balanceo__v1__train__4.csv
pd_BCCC17__sin_balanceo__v1__val__4.csv
pd_BCCC17__sin_balanceo__v1__train__5.csv
Pd_BCCC17__sin_balanceo__v1__val__5.csv</t>
  </si>
  <si>
    <t xml:space="preserve">BCCC17__sin_balanceo__v1__ENN_v1.ipynb</t>
  </si>
  <si>
    <t xml:space="preserve">BCCC17__ENN__v1__train.csv
BCCC17__ENN__v1__test.csv</t>
  </si>
  <si>
    <t xml:space="preserve">BCCC17__ENN__v1__transformar_v1.ipynb</t>
  </si>
  <si>
    <t xml:space="preserve">pd_BCCC17__ENN__v1__train.csv
pd_BCCC17__ENN__v1__test.csv
pd_BCCC17__ENN__v1__train__1.csv
pd_BCCC17__ENN__v1__val__1.csv
pd_BCCC17__ENN__v1__train__2.csv
pd_BCCC17__ENN__v1__val__2.csv
pd_BCCC17__ENN__v1__train__3.csv
pd_BCCC17__ENN__v1__val__3.csv
pd_BCCC17__ENN__v1__train__4.csv
pd_BCCC17__ENN__v1__val__4.csv
pd_BCCC17__ENN__v1__train__5.csv
Pd_BCCC17__ENN__v1__val_₅.csv</t>
  </si>
  <si>
    <t xml:space="preserve">BCCC17__sin_balanceo__v1__RUS_SMOTE_v1.ipynb</t>
  </si>
  <si>
    <t xml:space="preserve">BCCC17__RUS_SMOTE__v1__train.csv
BCCC17__RUS_SMOTE__v1__test.csv
BCCC17__RUS_SMOTE__v1__test_nuevo.csv</t>
  </si>
  <si>
    <t xml:space="preserve">BCCC17__RUS_SMOTE__v1__transformar_v1.ipynb</t>
  </si>
  <si>
    <t xml:space="preserve">pd_BCCC17__RUS_SMOTE__v1__train.csv
pd_BCCC17__RUS_SMOTE__v1__test.csv
pd_BCCC17__RUS_SMOTE__v1__test_nuevo.csv
pd_BCCC17__RUS_SMOTE__v1__train__1.csv
pd_BCCC17__RUS_SMOTE__v1__val__1.csv
pd_BCCC17__RUS_SMOTE__v1__train__2.csv
pd_BCCC17__RUS_SMOTE__v1__val__2.csv
pd_BCCC17__RUS_SMOTE__v1__train__3.csv
pd_BCCC17__RUS_SMOTE__v1__val__3.csv
pd_BCCC17__RUS_SMOTE__v1__train__4.csv
pd_BCCC17__RUS_SMOTE__v1__val__4.csv
pd_BCCC17__RUS_SMOTE__v1__train__5.csv
Pd_BCCC17__RUS_SMOTE__v1__val__5.csv</t>
  </si>
  <si>
    <t xml:space="preserve">pd_BCCC17__RUS_SMOTE__v1__training_v1__1_5.ipynb
pd_BCCC17__RUS_SMOTE__v1__training_v1__2_5.ipynb
pd_BCCC17__RUS_SMOTE__v1__training_v1__3_5.ipynb
pd_BCCC17__RUS_SMOTE__v1__training_v1__4_5.ipynb
pd_BCCC17__RUS_SMOTE__v1__training_v1__5_5.ipynb</t>
  </si>
  <si>
    <t xml:space="preserve">pd_BCCC17__RUS_SMOTE__v1__train__1.csv
pd_BCCC17__RUS_SMOTE__v1__train__2.csv
pd_BCCC17__RUS_SMOTE__v1__train__3.csv
pd_BCCC17__RUS_SMOTE__v1__train__4.csv
pd_BCCC17__RUS_SMOTE__v1__train__5.csv</t>
  </si>
  <si>
    <t xml:space="preserve">pd_BCCC17__RUS_SMOTE__v1__outputs</t>
  </si>
  <si>
    <t xml:space="preserve">BCCC17__RUS_SMOTE__v1__ENN_v1.ipynb</t>
  </si>
  <si>
    <t xml:space="preserve">BCCC17__RUS_SMOTE__v1__train.csv BCCC17__RUS_SMOTE__v1__test.csv BCCC17__RUS_SMOTE__v1__test_nuevo.csv</t>
  </si>
  <si>
    <t xml:space="preserve">BCCC17__RUS_SMOTE_ENN__v1__train.csv BCCC17__RUS_SMOTE_ENN__v1__test.csv BCCC17__RUS_SMOTE_ENN__v1__test_nuevo.csv</t>
  </si>
  <si>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__RUS_SMOTE_ENN__v1__transformar_v1.ipynb</t>
    </r>
  </si>
  <si>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__RUS_SMOTE_ENN__v1__train.csv 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__RUS_SMOTE_ENN__v1__test.csv 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__RUS_SMOTE_ENN__v1__test_nuevo.csv</t>
    </r>
  </si>
  <si>
    <r>
      <rPr>
        <sz val="13"/>
        <color theme="1"/>
        <rFont val="Cascadia Code PL"/>
        <family val="0"/>
        <charset val="1"/>
      </rPr>
      <t xml:space="preserve">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__RUS_SMOTE_ENN__v1__train.csv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__RUS_SMOTE_ENN__v1__test.csv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__RUS_SMOTE_ENN__v1__test_nuevo.csv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__RUS_SMOTE_ENN__v1__train__1.csv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__RUS_SMOTE_ENN__v1__val__1.csv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__RUS_SMOTE_ENN__v1__train__2.csv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__RUS_SMOTE_ENN__v1__val__2.csv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__RUS_SMOTE_ENN__v1__train__3.csv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__RUS_SMOTE_ENN__v1__val__3.csv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__RUS_SMOTE_ENN__v1__train__4.csv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__RUS_SMOTE_ENN__v1__val__4.csv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__RUS_SMOTE_ENN__v1__train__5.csv
Pd_</t>
    </r>
    <r>
      <rPr>
        <sz val="13"/>
        <color theme="1"/>
        <rFont val="Cascadia Code PL"/>
        <family val="0"/>
      </rPr>
      <t xml:space="preserve">BCCC17</t>
    </r>
    <r>
      <rPr>
        <sz val="13"/>
        <color theme="1"/>
        <rFont val="Cascadia Code PL"/>
        <family val="0"/>
        <charset val="1"/>
      </rPr>
      <t xml:space="preserve">__RUS_SMOTE_ENN__v1__val__5.csv</t>
    </r>
  </si>
  <si>
    <t xml:space="preserve">BCCC17__sin_balanceo__v1__NearMiss_SMOTE_v1.ipynb</t>
  </si>
  <si>
    <t xml:space="preserve">BCCC17__NearMiss_SMOTE__v1__train.csv
BCCC17__NearMiss_SMOTE__v1__test.csv
BCCC17__NearMiss_SMOTE__v1__test_nuevo.csv</t>
  </si>
  <si>
    <t xml:space="preserve">BCCC17__NearMiss_SMOTE__v1__transformar_v1.ipynb</t>
  </si>
  <si>
    <t xml:space="preserve">pd_BCCC17__NearMiss_SMOTE__v1__train.csv
pd_BCCC17__NearMiss_SMOTE__v1__test.csv
pd_BCCC17__NearMiss_SMOTE__v1__test_nuevo.csv
pd_BCCC17__NearMiss_SMOTE__v1__train__1.csv
pd_BCCC17__NearMiss_SMOTE__v1__val__1.csv
pd_BCCC17__NearMiss_SMOTE__v1__train__2.csv
pd_BCCC17__NearMiss_SMOTE__v1__val__2.csv
pd_BCCC17__NearMiss_SMOTE__v1__train__3.csv
pd_BCCC17__NearMiss_SMOTE__v1__val__3.csv
pd_BCCC17__NearMiss_SMOTE__v1__train__4.csv
pd_BCCC17__NearMiss_SMOTE__v1__val__4.csv
pd_BCCC17__NearMiss_SMOTE__v1__train__5.csv
Pd_BCCC17__NearMiss_SMOTE__v1__val__5.csv</t>
  </si>
  <si>
    <t xml:space="preserve">pd_BCCC17__NearMiss_SMOTE__v1__training_v1__1_5.ipynb
pd_BCCC17__NearMiss_SMOTE__v1__training_v1__2_5.ipynb
pd_BCCC17__NearMiss_SMOTE__v1__training_v1__3_5.ipynb
pd_BCCC17__NearMiss_SMOTE__v1__training_v1__4_5.ipynb
pd_BCCC17__NearMiss_SMOTE__v1__training_v1__5_5.ipynb</t>
  </si>
  <si>
    <t xml:space="preserve">pd_BCCC17__NearMiss_SMOTE__v1__train__1.csv
pd_BCCC17__NearMiss_SMOTE__v1__train__2.csv
pd_BCCC17__NearMiss_SMOTE__v1__train__3.csv
pd_BCCC17__NearMiss_SMOTE__v1__train__4.csv
pd_BCCC17__NearMiss_SMOTE__v1__train__5.csv</t>
  </si>
  <si>
    <t xml:space="preserve">pd_BCCC17__NearMiss_SMOTE__v1__outputs</t>
  </si>
  <si>
    <t xml:space="preserve">BCCC17__NearMiss_SMOTE__v1__ENN_v1.ipynb</t>
  </si>
  <si>
    <t xml:space="preserve">BCCC17__NearMiss_SMOTE__v1__train.csv BCCC17__NearMiss_SMOTE__v1__test.csv BCCC17__NearMiss_SMOTE__v1__test_nuevo.csv</t>
  </si>
  <si>
    <t xml:space="preserve">BCCC17__NearMiss_SMOTE_ENN__v1__train.csv BCCC17__NearMiss_SMOTE_ENN__v1__test.csv BCCC17__NearMiss_SMOTE_ENN__v1__test_nuevo.csv</t>
  </si>
  <si>
    <t xml:space="preserve">BCCC17__NearMiss_SMOTE_ENN__v1__transformar_v1.ipynb</t>
  </si>
  <si>
    <t xml:space="preserve">pd_BCCC17__NearMiss_SMOTE_ENN__v1__train.csv
pd_BCCC17__NearMiss_SMOTE_ENN__v1__test.csv
pd_BCCC17__NearMiss_SMOTE_ENN__v1__test_nuevo.csv
pd_BCCC17__NearMiss_SMOTE_ENN__v1__train__1.csv
pd_BCCC17__NearMiss_SMOTE_ENN__v1__val__1.csv
pd_BCCC17__NearMiss_SMOTE_ENN__v1__train__2.csv
pd_BCCC17__NearMiss_SMOTE_ENN__v1__val__2.csv
pd_BCCC17__NearMiss_SMOTE_ENN__v1__train__3.csv
pd_BCCC17__NearMiss_SMOTE_ENN__v1__val__3.csv
pd_BCCC17__NearMiss_SMOTE_ENN__v1__train__4.csv
pd_BCCC17__NearMiss_SMOTE_ENN__v1__val__4.csv
pd_BCCC17__NearMiss_SMOTE_ENN__v1__train__5.csv
Pd_BCCC17__NearMiss_SMOTE_ENN__v1__val__5.csv</t>
  </si>
  <si>
    <t xml:space="preserve">ORIGINAL (BCCC17)</t>
  </si>
  <si>
    <t xml:space="preserve">train (80%)</t>
  </si>
  <si>
    <t xml:space="preserve">Benign</t>
  </si>
  <si>
    <t xml:space="preserve">DoS_Hulk</t>
  </si>
  <si>
    <t xml:space="preserve">Port_Scan</t>
  </si>
  <si>
    <t xml:space="preserve">DdoS_LOIT</t>
  </si>
  <si>
    <t xml:space="preserve">DoS_GoldenEye</t>
  </si>
  <si>
    <t xml:space="preserve">Dos_Slowhttptest</t>
  </si>
  <si>
    <t xml:space="preserve">Botnet_ARES</t>
  </si>
  <si>
    <t xml:space="preserve">DoS_Slowloris</t>
  </si>
  <si>
    <t xml:space="preserve">Web_Brute_Force</t>
  </si>
  <si>
    <t xml:space="preserve">Web_XSS</t>
  </si>
  <si>
    <t xml:space="preserve">Web_SQL_Injection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</si>
</sst>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/>
      <name val="Cascadia Code PL"/>
      <family val="0"/>
      <charset val="1"/>
    </font>
    <font>
      <sz val="13"/>
      <color theme="1"/>
      <name val="Cascadia Code PL"/>
      <family val="0"/>
      <charset val="1"/>
    </font>
    <font>
      <sz val="13"/>
      <color theme="1"/>
      <name val="Calibri"/>
      <family val="0"/>
      <charset val="1"/>
    </font>
    <font>
      <u val="single"/>
      <sz val="13"/>
      <color theme="1"/>
      <name val="Cascadia Code PL"/>
      <family val="0"/>
      <charset val="1"/>
    </font>
    <font>
      <b val="true"/>
      <sz val="11"/>
      <color theme="1"/>
      <name val="Calibri"/>
      <family val="0"/>
      <charset val="1"/>
    </font>
    <font>
      <sz val="13"/>
      <color theme="1"/>
      <name val="Cascadia Code PL"/>
      <family val="0"/>
    </font>
  </fonts>
  <fills count="7">
    <fill>
      <patternFill patternType="none"/>
    </fill>
    <fill>
      <patternFill patternType="gray125"/>
    </fill>
    <fill>
      <patternFill patternType="solid">
        <fgColor rgb="FF81D41A"/>
        <bgColor rgb="FF77BC65"/>
      </patternFill>
    </fill>
    <fill>
      <patternFill patternType="solid">
        <fgColor theme="0" tint="-0.15"/>
        <bgColor rgb="FFDDDDDD"/>
      </patternFill>
    </fill>
    <fill>
      <patternFill patternType="solid">
        <fgColor rgb="FFDDDDDD"/>
        <bgColor rgb="FFD9D9D9"/>
      </patternFill>
    </fill>
    <fill>
      <patternFill patternType="solid">
        <fgColor rgb="FF77BC65"/>
        <bgColor rgb="FF81D41A"/>
      </patternFill>
    </fill>
    <fill>
      <patternFill patternType="solid">
        <fgColor rgb="FFFFFFFF"/>
        <bgColor rgb="FFFFFFCC"/>
      </patternFill>
    </fill>
  </fills>
  <borders count="9">
    <border diagonalUp="false" diagonalDown="false">
      <left/>
      <right/>
      <top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5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6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6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6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7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5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DDDD"/>
      <rgbColor rgb="FFFFFF99"/>
      <rgbColor rgb="FF99CCFF"/>
      <rgbColor rgb="FFFF99CC"/>
      <rgbColor rgb="FFCC99FF"/>
      <rgbColor rgb="FFFFCC99"/>
      <rgbColor rgb="FF3366FF"/>
      <rgbColor rgb="FF33CCCC"/>
      <rgbColor rgb="FF81D41A"/>
      <rgbColor rgb="FFFFCC00"/>
      <rgbColor rgb="FFFF9900"/>
      <rgbColor rgb="FFFF6600"/>
      <rgbColor rgb="FF666699"/>
      <rgbColor rgb="FF77BC65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New 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Arial" pitchFamily="0" charset="1"/>
        <a:cs typeface="Arial" pitchFamily="0" charset="1"/>
      </a:majorFont>
      <a:minorFont>
        <a:latin typeface="Calibri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2"/>
  <sheetViews>
    <sheetView showFormulas="false" showGridLines="true" showRowColHeaders="true" showZeros="true" rightToLeft="false" tabSelected="true" showOutlineSymbols="true" defaultGridColor="true" view="normal" topLeftCell="A13" colorId="64" zoomScale="75" zoomScaleNormal="75" zoomScalePageLayoutView="100" workbookViewId="0">
      <selection pane="topLeft" activeCell="A16" activeCellId="0" sqref="A1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5.05"/>
    <col collapsed="false" customWidth="true" hidden="false" outlineLevel="0" max="2" min="2" style="2" width="90.51"/>
    <col collapsed="false" customWidth="true" hidden="false" outlineLevel="0" max="3" min="3" style="2" width="68.63"/>
    <col collapsed="false" customWidth="true" hidden="false" outlineLevel="0" max="4" min="4" style="2" width="61.39"/>
    <col collapsed="false" customWidth="true" hidden="false" outlineLevel="0" max="5" min="5" style="2" width="81.98"/>
    <col collapsed="false" customWidth="true" hidden="false" outlineLevel="0" max="6" min="6" style="3" width="68.63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5</v>
      </c>
    </row>
    <row r="2" customFormat="false" ht="16.15" hidden="false" customHeight="false" outlineLevel="0" collapsed="false">
      <c r="A2" s="6"/>
      <c r="B2" s="7" t="s">
        <v>6</v>
      </c>
      <c r="C2" s="7" t="s">
        <v>7</v>
      </c>
      <c r="D2" s="7" t="s">
        <v>8</v>
      </c>
      <c r="E2" s="7" t="s">
        <v>9</v>
      </c>
      <c r="F2" s="8"/>
    </row>
    <row r="3" customFormat="false" ht="95.5" hidden="false" customHeight="true" outlineLevel="0" collapsed="false">
      <c r="A3" s="6"/>
      <c r="B3" s="7" t="s">
        <v>10</v>
      </c>
      <c r="C3" s="9" t="s">
        <v>11</v>
      </c>
      <c r="D3" s="7" t="s">
        <v>8</v>
      </c>
      <c r="E3" s="7" t="s">
        <v>9</v>
      </c>
      <c r="F3" s="8"/>
    </row>
    <row r="4" customFormat="false" ht="191" hidden="false" customHeight="true" outlineLevel="0" collapsed="false">
      <c r="A4" s="6"/>
      <c r="B4" s="7" t="s">
        <v>12</v>
      </c>
      <c r="C4" s="9" t="s">
        <v>13</v>
      </c>
      <c r="D4" s="7" t="s">
        <v>8</v>
      </c>
      <c r="E4" s="7" t="s">
        <v>14</v>
      </c>
      <c r="F4" s="8"/>
    </row>
    <row r="5" customFormat="false" ht="102.95" hidden="false" customHeight="true" outlineLevel="0" collapsed="false">
      <c r="A5" s="6"/>
      <c r="B5" s="7" t="s">
        <v>15</v>
      </c>
      <c r="C5" s="9" t="s">
        <v>11</v>
      </c>
      <c r="D5" s="7" t="s">
        <v>14</v>
      </c>
      <c r="E5" s="7" t="s">
        <v>9</v>
      </c>
      <c r="F5" s="8"/>
    </row>
    <row r="6" customFormat="false" ht="91" hidden="false" customHeight="true" outlineLevel="0" collapsed="false">
      <c r="A6" s="6"/>
      <c r="B6" s="7" t="s">
        <v>16</v>
      </c>
      <c r="C6" s="9" t="s">
        <v>17</v>
      </c>
      <c r="D6" s="7" t="s">
        <v>14</v>
      </c>
      <c r="E6" s="9" t="s">
        <v>18</v>
      </c>
      <c r="F6" s="8"/>
    </row>
    <row r="7" customFormat="false" ht="69.4" hidden="false" customHeight="true" outlineLevel="0" collapsed="false">
      <c r="A7" s="6"/>
      <c r="B7" s="7" t="s">
        <v>19</v>
      </c>
      <c r="C7" s="9" t="s">
        <v>20</v>
      </c>
      <c r="D7" s="9" t="s">
        <v>18</v>
      </c>
      <c r="E7" s="9" t="s">
        <v>21</v>
      </c>
      <c r="F7" s="8"/>
    </row>
    <row r="8" customFormat="false" ht="219.2" hidden="false" customHeight="true" outlineLevel="0" collapsed="false">
      <c r="A8" s="6" t="s">
        <v>22</v>
      </c>
      <c r="B8" s="10" t="s">
        <v>23</v>
      </c>
      <c r="C8" s="11" t="s">
        <v>24</v>
      </c>
      <c r="D8" s="11" t="s">
        <v>25</v>
      </c>
      <c r="E8" s="11" t="s">
        <v>26</v>
      </c>
      <c r="F8" s="8"/>
      <c r="G8" s="12"/>
      <c r="H8" s="12"/>
    </row>
    <row r="9" customFormat="false" ht="104.45" hidden="false" customHeight="true" outlineLevel="0" collapsed="false">
      <c r="A9" s="13" t="s">
        <v>27</v>
      </c>
      <c r="B9" s="14" t="s">
        <v>28</v>
      </c>
      <c r="C9" s="15" t="s">
        <v>29</v>
      </c>
      <c r="D9" s="15" t="s">
        <v>25</v>
      </c>
      <c r="E9" s="15" t="s">
        <v>30</v>
      </c>
      <c r="F9" s="16"/>
    </row>
    <row r="10" customFormat="false" ht="262.1" hidden="false" customHeight="true" outlineLevel="0" collapsed="false">
      <c r="A10" s="13" t="s">
        <v>27</v>
      </c>
      <c r="B10" s="14" t="s">
        <v>31</v>
      </c>
      <c r="C10" s="15" t="s">
        <v>24</v>
      </c>
      <c r="D10" s="15" t="s">
        <v>30</v>
      </c>
      <c r="E10" s="15" t="s">
        <v>32</v>
      </c>
      <c r="F10" s="16"/>
    </row>
    <row r="11" customFormat="false" ht="114.4" hidden="false" customHeight="true" outlineLevel="0" collapsed="false">
      <c r="A11" s="6" t="s">
        <v>33</v>
      </c>
      <c r="B11" s="10" t="s">
        <v>34</v>
      </c>
      <c r="C11" s="11" t="s">
        <v>35</v>
      </c>
      <c r="D11" s="11" t="s">
        <v>25</v>
      </c>
      <c r="E11" s="11" t="s">
        <v>36</v>
      </c>
      <c r="F11" s="8"/>
    </row>
    <row r="12" customFormat="false" ht="231.3" hidden="false" customHeight="true" outlineLevel="0" collapsed="false">
      <c r="A12" s="13" t="s">
        <v>33</v>
      </c>
      <c r="B12" s="14" t="s">
        <v>37</v>
      </c>
      <c r="C12" s="15" t="s">
        <v>24</v>
      </c>
      <c r="D12" s="15" t="s">
        <v>36</v>
      </c>
      <c r="E12" s="15" t="s">
        <v>38</v>
      </c>
      <c r="F12" s="16"/>
    </row>
    <row r="13" customFormat="false" ht="231.3" hidden="false" customHeight="true" outlineLevel="0" collapsed="false">
      <c r="A13" s="13" t="s">
        <v>33</v>
      </c>
      <c r="B13" s="15" t="s">
        <v>39</v>
      </c>
      <c r="C13" s="15" t="s">
        <v>40</v>
      </c>
      <c r="D13" s="15" t="s">
        <v>41</v>
      </c>
      <c r="E13" s="15"/>
      <c r="F13" s="17" t="s">
        <v>42</v>
      </c>
    </row>
    <row r="14" customFormat="false" ht="231.3" hidden="false" customHeight="true" outlineLevel="0" collapsed="false">
      <c r="A14" s="18" t="s">
        <v>33</v>
      </c>
      <c r="B14" s="19" t="s">
        <v>43</v>
      </c>
      <c r="C14" s="19" t="s">
        <v>44</v>
      </c>
      <c r="D14" s="19" t="s">
        <v>45</v>
      </c>
      <c r="E14" s="19"/>
      <c r="F14" s="20"/>
    </row>
    <row r="15" customFormat="false" ht="231.3" hidden="false" customHeight="true" outlineLevel="0" collapsed="false">
      <c r="A15" s="13" t="s">
        <v>46</v>
      </c>
      <c r="B15" s="15" t="s">
        <v>47</v>
      </c>
      <c r="C15" s="15" t="s">
        <v>29</v>
      </c>
      <c r="D15" s="15" t="s">
        <v>48</v>
      </c>
      <c r="E15" s="15" t="s">
        <v>49</v>
      </c>
      <c r="F15" s="17"/>
    </row>
    <row r="16" customFormat="false" ht="231.3" hidden="false" customHeight="true" outlineLevel="0" collapsed="false">
      <c r="A16" s="6" t="s">
        <v>46</v>
      </c>
      <c r="B16" s="11" t="s">
        <v>50</v>
      </c>
      <c r="C16" s="11" t="s">
        <v>24</v>
      </c>
      <c r="D16" s="11" t="s">
        <v>49</v>
      </c>
      <c r="E16" s="11" t="s">
        <v>51</v>
      </c>
      <c r="F16" s="9"/>
    </row>
    <row r="17" customFormat="false" ht="119.85" hidden="false" customHeight="true" outlineLevel="0" collapsed="false">
      <c r="A17" s="6" t="s">
        <v>52</v>
      </c>
      <c r="B17" s="10" t="s">
        <v>53</v>
      </c>
      <c r="C17" s="11" t="s">
        <v>35</v>
      </c>
      <c r="D17" s="11" t="s">
        <v>25</v>
      </c>
      <c r="E17" s="11" t="s">
        <v>54</v>
      </c>
      <c r="F17" s="8"/>
    </row>
    <row r="18" customFormat="false" ht="271.55" hidden="false" customHeight="true" outlineLevel="0" collapsed="false">
      <c r="A18" s="13" t="s">
        <v>52</v>
      </c>
      <c r="B18" s="14" t="s">
        <v>55</v>
      </c>
      <c r="C18" s="15" t="s">
        <v>24</v>
      </c>
      <c r="D18" s="15" t="s">
        <v>54</v>
      </c>
      <c r="E18" s="15" t="s">
        <v>56</v>
      </c>
      <c r="F18" s="16"/>
    </row>
    <row r="19" customFormat="false" ht="299.5" hidden="false" customHeight="true" outlineLevel="0" collapsed="false">
      <c r="A19" s="18" t="s">
        <v>52</v>
      </c>
      <c r="B19" s="19" t="s">
        <v>57</v>
      </c>
      <c r="C19" s="19" t="s">
        <v>58</v>
      </c>
      <c r="D19" s="19" t="s">
        <v>59</v>
      </c>
      <c r="E19" s="19"/>
      <c r="F19" s="20" t="s">
        <v>60</v>
      </c>
    </row>
    <row r="20" customFormat="false" ht="299.5" hidden="false" customHeight="true" outlineLevel="0" collapsed="false">
      <c r="A20" s="21" t="s">
        <v>52</v>
      </c>
      <c r="B20" s="22" t="s">
        <v>61</v>
      </c>
      <c r="C20" s="22" t="s">
        <v>44</v>
      </c>
      <c r="D20" s="22" t="s">
        <v>62</v>
      </c>
      <c r="E20" s="22"/>
      <c r="F20" s="23"/>
    </row>
    <row r="21" s="2" customFormat="true" ht="231.3" hidden="false" customHeight="true" outlineLevel="0" collapsed="false">
      <c r="A21" s="13" t="s">
        <v>63</v>
      </c>
      <c r="B21" s="15" t="s">
        <v>64</v>
      </c>
      <c r="C21" s="15" t="s">
        <v>29</v>
      </c>
      <c r="D21" s="15" t="s">
        <v>65</v>
      </c>
      <c r="E21" s="15" t="s">
        <v>66</v>
      </c>
      <c r="F21" s="17"/>
    </row>
    <row r="22" s="2" customFormat="true" ht="231.3" hidden="false" customHeight="true" outlineLevel="0" collapsed="false">
      <c r="A22" s="6" t="s">
        <v>63</v>
      </c>
      <c r="B22" s="11" t="s">
        <v>67</v>
      </c>
      <c r="C22" s="11" t="s">
        <v>24</v>
      </c>
      <c r="D22" s="11" t="s">
        <v>66</v>
      </c>
      <c r="E22" s="11" t="s">
        <v>68</v>
      </c>
      <c r="F22" s="9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28"/>
  <sheetViews>
    <sheetView showFormulas="false" showGridLines="true" showRowColHeaders="true" showZeros="true" rightToLeft="false" tabSelected="false" showOutlineSymbols="true" defaultGridColor="true" view="normal" topLeftCell="B1" colorId="64" zoomScale="75" zoomScaleNormal="75" zoomScalePageLayoutView="100" workbookViewId="0">
      <selection pane="topLeft" activeCell="J36" activeCellId="0" sqref="J36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35.66"/>
    <col collapsed="false" customWidth="true" hidden="false" outlineLevel="0" max="2" min="2" style="3" width="19.6"/>
    <col collapsed="false" customWidth="true" hidden="false" outlineLevel="0" max="3" min="3" style="3" width="25.12"/>
    <col collapsed="false" customWidth="true" hidden="false" outlineLevel="0" max="4" min="4" style="3" width="21.44"/>
    <col collapsed="false" customWidth="true" hidden="false" outlineLevel="0" max="5" min="5" style="2" width="21.2"/>
    <col collapsed="false" customWidth="true" hidden="false" outlineLevel="0" max="6" min="6" style="2" width="23.9"/>
    <col collapsed="false" customWidth="true" hidden="false" outlineLevel="0" max="7" min="7" style="2" width="25.34"/>
    <col collapsed="false" customWidth="true" hidden="false" outlineLevel="0" max="8" min="8" style="2" width="18.53"/>
    <col collapsed="false" customWidth="true" hidden="false" outlineLevel="0" max="9" min="9" style="2" width="30.47"/>
    <col collapsed="false" customWidth="true" hidden="false" outlineLevel="0" max="10" min="10" style="2" width="28.92"/>
    <col collapsed="false" customWidth="true" hidden="false" outlineLevel="0" max="11" min="11" style="2" width="31.21"/>
  </cols>
  <sheetData>
    <row r="1" s="27" customFormat="true" ht="16.15" hidden="false" customHeight="false" outlineLevel="0" collapsed="false">
      <c r="A1" s="24" t="s">
        <v>69</v>
      </c>
      <c r="B1" s="24" t="s">
        <v>70</v>
      </c>
      <c r="C1" s="25" t="s">
        <v>71</v>
      </c>
      <c r="D1" s="25" t="s">
        <v>72</v>
      </c>
      <c r="E1" s="25" t="s">
        <v>73</v>
      </c>
      <c r="F1" s="25" t="s">
        <v>74</v>
      </c>
      <c r="G1" s="25" t="s">
        <v>27</v>
      </c>
      <c r="H1" s="25" t="s">
        <v>33</v>
      </c>
      <c r="I1" s="26" t="s">
        <v>52</v>
      </c>
      <c r="J1" s="25" t="s">
        <v>46</v>
      </c>
      <c r="K1" s="26" t="s">
        <v>63</v>
      </c>
      <c r="XFD1" s="2"/>
    </row>
    <row r="2" s="3" customFormat="true" ht="16.15" hidden="false" customHeight="false" outlineLevel="0" collapsed="false">
      <c r="A2" s="28" t="s">
        <v>75</v>
      </c>
      <c r="B2" s="29" t="n">
        <v>0</v>
      </c>
      <c r="C2" s="30" t="n">
        <v>13484658</v>
      </c>
      <c r="D2" s="30" t="n">
        <v>13445443</v>
      </c>
      <c r="E2" s="30" t="n">
        <v>450000</v>
      </c>
      <c r="F2" s="30" t="n">
        <v>360000</v>
      </c>
      <c r="G2" s="30" t="n">
        <v>339865</v>
      </c>
      <c r="H2" s="31" t="n">
        <v>10000</v>
      </c>
      <c r="I2" s="31" t="n">
        <v>10000</v>
      </c>
      <c r="J2" s="30" t="n">
        <v>10000</v>
      </c>
      <c r="K2" s="30" t="n">
        <v>10000</v>
      </c>
      <c r="XFD2" s="2"/>
    </row>
    <row r="3" s="3" customFormat="true" ht="16.15" hidden="false" customHeight="false" outlineLevel="0" collapsed="false">
      <c r="A3" s="32" t="s">
        <v>76</v>
      </c>
      <c r="B3" s="29" t="n">
        <v>1</v>
      </c>
      <c r="C3" s="30" t="n">
        <v>686012</v>
      </c>
      <c r="D3" s="30" t="n">
        <v>668461</v>
      </c>
      <c r="E3" s="30" t="n">
        <v>450000</v>
      </c>
      <c r="F3" s="30" t="n">
        <v>360000</v>
      </c>
      <c r="G3" s="30" t="n">
        <v>359280</v>
      </c>
      <c r="H3" s="31" t="n">
        <v>10000</v>
      </c>
      <c r="I3" s="31" t="n">
        <v>10000</v>
      </c>
      <c r="J3" s="30" t="n">
        <v>9840</v>
      </c>
      <c r="K3" s="30" t="n">
        <v>9993</v>
      </c>
      <c r="XFD3" s="2"/>
    </row>
    <row r="4" s="3" customFormat="true" ht="16.15" hidden="false" customHeight="false" outlineLevel="0" collapsed="false">
      <c r="A4" s="32" t="s">
        <v>77</v>
      </c>
      <c r="B4" s="29" t="n">
        <v>2</v>
      </c>
      <c r="C4" s="30" t="n">
        <v>576191</v>
      </c>
      <c r="D4" s="30" t="n">
        <v>576175</v>
      </c>
      <c r="E4" s="30" t="n">
        <v>450000</v>
      </c>
      <c r="F4" s="30" t="n">
        <v>360000</v>
      </c>
      <c r="G4" s="30" t="n">
        <v>359369</v>
      </c>
      <c r="H4" s="31" t="n">
        <v>10000</v>
      </c>
      <c r="I4" s="31" t="n">
        <v>10000</v>
      </c>
      <c r="J4" s="30" t="n">
        <v>9974</v>
      </c>
      <c r="K4" s="30" t="n">
        <v>9968</v>
      </c>
      <c r="XFD4" s="2"/>
    </row>
    <row r="5" s="3" customFormat="true" ht="16.15" hidden="false" customHeight="false" outlineLevel="0" collapsed="false">
      <c r="A5" s="32" t="s">
        <v>78</v>
      </c>
      <c r="B5" s="29" t="n">
        <v>3</v>
      </c>
      <c r="C5" s="30" t="n">
        <v>461912</v>
      </c>
      <c r="D5" s="30" t="n">
        <v>434873</v>
      </c>
      <c r="E5" s="33" t="n">
        <v>434873</v>
      </c>
      <c r="F5" s="30" t="n">
        <v>347898</v>
      </c>
      <c r="G5" s="30" t="n">
        <v>346118</v>
      </c>
      <c r="H5" s="31" t="n">
        <v>10000</v>
      </c>
      <c r="I5" s="31" t="n">
        <v>10000</v>
      </c>
      <c r="J5" s="30" t="n">
        <v>9855</v>
      </c>
      <c r="K5" s="30" t="n">
        <v>9914</v>
      </c>
      <c r="XFD5" s="2"/>
    </row>
    <row r="6" s="3" customFormat="true" ht="16.15" hidden="false" customHeight="false" outlineLevel="0" collapsed="false">
      <c r="A6" s="32" t="s">
        <v>79</v>
      </c>
      <c r="B6" s="29" t="n">
        <v>4</v>
      </c>
      <c r="C6" s="30" t="n">
        <v>286191</v>
      </c>
      <c r="D6" s="30" t="n">
        <v>282310</v>
      </c>
      <c r="E6" s="33" t="n">
        <v>282310</v>
      </c>
      <c r="F6" s="30" t="n">
        <v>225848</v>
      </c>
      <c r="G6" s="30" t="n">
        <v>225602</v>
      </c>
      <c r="H6" s="31" t="n">
        <v>10000</v>
      </c>
      <c r="I6" s="31" t="n">
        <v>10000</v>
      </c>
      <c r="J6" s="30" t="n">
        <v>9971</v>
      </c>
      <c r="K6" s="30" t="n">
        <v>10000</v>
      </c>
      <c r="XFD6" s="2"/>
    </row>
    <row r="7" s="3" customFormat="true" ht="16.15" hidden="false" customHeight="false" outlineLevel="0" collapsed="false">
      <c r="A7" s="32" t="s">
        <v>80</v>
      </c>
      <c r="B7" s="29" t="n">
        <v>5</v>
      </c>
      <c r="C7" s="30" t="n">
        <v>161934</v>
      </c>
      <c r="D7" s="30" t="n">
        <v>161897</v>
      </c>
      <c r="E7" s="33" t="n">
        <v>161897</v>
      </c>
      <c r="F7" s="30" t="n">
        <v>129517</v>
      </c>
      <c r="G7" s="30" t="n">
        <v>108526</v>
      </c>
      <c r="H7" s="31" t="n">
        <v>10000</v>
      </c>
      <c r="I7" s="31" t="n">
        <v>10000</v>
      </c>
      <c r="J7" s="30" t="n">
        <v>8820</v>
      </c>
      <c r="K7" s="30" t="n">
        <v>9998</v>
      </c>
      <c r="XFD7" s="2"/>
    </row>
    <row r="8" s="3" customFormat="true" ht="16.15" hidden="false" customHeight="false" outlineLevel="0" collapsed="false">
      <c r="A8" s="32" t="s">
        <v>81</v>
      </c>
      <c r="B8" s="29" t="n">
        <v>6</v>
      </c>
      <c r="C8" s="30" t="n">
        <v>187589</v>
      </c>
      <c r="D8" s="30" t="n">
        <v>117322</v>
      </c>
      <c r="E8" s="33" t="n">
        <v>117322</v>
      </c>
      <c r="F8" s="30" t="n">
        <v>93857</v>
      </c>
      <c r="G8" s="30" t="n">
        <v>93112</v>
      </c>
      <c r="H8" s="31" t="n">
        <v>10000</v>
      </c>
      <c r="I8" s="31" t="n">
        <v>10000</v>
      </c>
      <c r="J8" s="30" t="n">
        <v>9896</v>
      </c>
      <c r="K8" s="30" t="n">
        <v>9967</v>
      </c>
      <c r="XFD8" s="2"/>
    </row>
    <row r="9" s="3" customFormat="true" ht="16.15" hidden="false" customHeight="false" outlineLevel="0" collapsed="false">
      <c r="A9" s="32" t="s">
        <v>82</v>
      </c>
      <c r="B9" s="29" t="n">
        <v>7</v>
      </c>
      <c r="C9" s="30" t="n">
        <v>41508</v>
      </c>
      <c r="D9" s="30" t="n">
        <v>41455</v>
      </c>
      <c r="E9" s="33" t="n">
        <v>41455</v>
      </c>
      <c r="F9" s="30" t="n">
        <v>33164</v>
      </c>
      <c r="G9" s="30" t="n">
        <v>31187</v>
      </c>
      <c r="H9" s="31" t="n">
        <v>10000</v>
      </c>
      <c r="I9" s="31" t="n">
        <v>10000</v>
      </c>
      <c r="J9" s="30" t="n">
        <v>9533</v>
      </c>
      <c r="K9" s="30" t="n">
        <v>9974</v>
      </c>
      <c r="XFD9" s="2"/>
    </row>
    <row r="10" s="3" customFormat="true" ht="16.15" hidden="false" customHeight="false" outlineLevel="0" collapsed="false">
      <c r="A10" s="32" t="s">
        <v>83</v>
      </c>
      <c r="B10" s="29" t="n">
        <v>8</v>
      </c>
      <c r="C10" s="30" t="n">
        <v>193360</v>
      </c>
      <c r="D10" s="30" t="n">
        <v>39352</v>
      </c>
      <c r="E10" s="33" t="n">
        <v>39352</v>
      </c>
      <c r="F10" s="30" t="n">
        <v>31482</v>
      </c>
      <c r="G10" s="30" t="n">
        <v>31432</v>
      </c>
      <c r="H10" s="31" t="n">
        <v>10000</v>
      </c>
      <c r="I10" s="31" t="n">
        <v>10000</v>
      </c>
      <c r="J10" s="30" t="n">
        <v>9986</v>
      </c>
      <c r="K10" s="30" t="n">
        <v>10000</v>
      </c>
      <c r="XFD10" s="2"/>
    </row>
    <row r="11" s="3" customFormat="true" ht="16.15" hidden="false" customHeight="false" outlineLevel="0" collapsed="false">
      <c r="A11" s="32" t="s">
        <v>84</v>
      </c>
      <c r="B11" s="29" t="n">
        <v>9</v>
      </c>
      <c r="C11" s="30" t="n">
        <v>139890</v>
      </c>
      <c r="D11" s="30" t="n">
        <v>19462</v>
      </c>
      <c r="E11" s="33" t="n">
        <v>19462</v>
      </c>
      <c r="F11" s="30" t="n">
        <v>15570</v>
      </c>
      <c r="G11" s="30" t="n">
        <v>15570</v>
      </c>
      <c r="H11" s="31" t="n">
        <v>10000</v>
      </c>
      <c r="I11" s="31" t="n">
        <v>10000</v>
      </c>
      <c r="J11" s="30" t="n">
        <v>10000</v>
      </c>
      <c r="K11" s="30" t="n">
        <v>10000</v>
      </c>
      <c r="XFD11" s="2"/>
    </row>
    <row r="12" s="3" customFormat="true" ht="16.15" hidden="false" customHeight="false" outlineLevel="0" collapsed="false">
      <c r="A12" s="32" t="s">
        <v>85</v>
      </c>
      <c r="B12" s="29" t="n">
        <v>10</v>
      </c>
      <c r="C12" s="30" t="n">
        <v>10990</v>
      </c>
      <c r="D12" s="30" t="n">
        <v>10285</v>
      </c>
      <c r="E12" s="33" t="n">
        <v>10285</v>
      </c>
      <c r="F12" s="30" t="n">
        <v>8228</v>
      </c>
      <c r="G12" s="30" t="n">
        <v>7975</v>
      </c>
      <c r="H12" s="31" t="n">
        <v>10000</v>
      </c>
      <c r="I12" s="31" t="n">
        <v>10000</v>
      </c>
      <c r="J12" s="30" t="n">
        <v>9838</v>
      </c>
      <c r="K12" s="30" t="n">
        <v>9939</v>
      </c>
      <c r="XFD12" s="2"/>
    </row>
    <row r="13" customFormat="false" ht="16.15" hidden="false" customHeight="false" outlineLevel="0" collapsed="false">
      <c r="A13" s="32" t="s">
        <v>86</v>
      </c>
      <c r="B13" s="29" t="n">
        <v>11</v>
      </c>
      <c r="C13" s="30" t="n">
        <v>1730</v>
      </c>
      <c r="D13" s="30" t="n">
        <v>1730</v>
      </c>
      <c r="E13" s="33" t="n">
        <v>1730</v>
      </c>
      <c r="F13" s="30" t="n">
        <v>1384</v>
      </c>
      <c r="G13" s="30" t="n">
        <v>1378</v>
      </c>
      <c r="H13" s="31" t="n">
        <v>10000</v>
      </c>
      <c r="I13" s="31" t="n">
        <v>10000</v>
      </c>
      <c r="J13" s="30" t="n">
        <v>10000</v>
      </c>
      <c r="K13" s="30" t="n">
        <v>10000</v>
      </c>
    </row>
    <row r="14" customFormat="false" ht="16.15" hidden="false" customHeight="false" outlineLevel="0" collapsed="false">
      <c r="A14" s="32" t="s">
        <v>87</v>
      </c>
      <c r="B14" s="29" t="n">
        <v>12</v>
      </c>
      <c r="C14" s="30" t="n">
        <v>611</v>
      </c>
      <c r="D14" s="30" t="n">
        <v>611</v>
      </c>
      <c r="E14" s="33" t="n">
        <v>611</v>
      </c>
      <c r="F14" s="30" t="n">
        <v>489</v>
      </c>
      <c r="G14" s="30" t="n">
        <v>211</v>
      </c>
      <c r="H14" s="31" t="n">
        <v>10000</v>
      </c>
      <c r="I14" s="31" t="n">
        <v>10000</v>
      </c>
      <c r="J14" s="30" t="n">
        <v>9624</v>
      </c>
      <c r="K14" s="30" t="n">
        <v>9593</v>
      </c>
    </row>
    <row r="15" customFormat="false" ht="16.15" hidden="false" customHeight="false" outlineLevel="0" collapsed="false">
      <c r="A15" s="32" t="s">
        <v>88</v>
      </c>
      <c r="B15" s="29" t="n">
        <v>13</v>
      </c>
      <c r="C15" s="30" t="n">
        <v>230</v>
      </c>
      <c r="D15" s="30" t="n">
        <v>230</v>
      </c>
      <c r="E15" s="33" t="n">
        <v>230</v>
      </c>
      <c r="F15" s="30" t="n">
        <v>184</v>
      </c>
      <c r="G15" s="30" t="n">
        <v>66</v>
      </c>
      <c r="H15" s="31" t="n">
        <v>10000</v>
      </c>
      <c r="I15" s="31" t="n">
        <v>10000</v>
      </c>
      <c r="J15" s="30" t="n">
        <v>9673</v>
      </c>
      <c r="K15" s="30" t="n">
        <v>9655</v>
      </c>
    </row>
    <row r="16" customFormat="false" ht="16.15" hidden="false" customHeight="false" outlineLevel="0" collapsed="false">
      <c r="A16" s="34" t="s">
        <v>89</v>
      </c>
      <c r="B16" s="35" t="n">
        <v>14</v>
      </c>
      <c r="C16" s="36" t="n">
        <v>87</v>
      </c>
      <c r="D16" s="36" t="n">
        <v>87</v>
      </c>
      <c r="E16" s="36" t="n">
        <v>87</v>
      </c>
      <c r="F16" s="30" t="n">
        <v>70</v>
      </c>
      <c r="G16" s="37" t="n">
        <v>70</v>
      </c>
      <c r="H16" s="31" t="n">
        <v>10000</v>
      </c>
      <c r="I16" s="31" t="n">
        <v>10000</v>
      </c>
      <c r="J16" s="30" t="n">
        <v>9987</v>
      </c>
      <c r="K16" s="30" t="n">
        <v>9986</v>
      </c>
    </row>
    <row r="17" customFormat="false" ht="16.15" hidden="false" customHeight="false" outlineLevel="0" collapsed="false">
      <c r="C17" s="3" t="n">
        <f aca="false">SUM(C2:C16)</f>
        <v>16232893</v>
      </c>
      <c r="D17" s="3" t="n">
        <f aca="false">SUM(D2:D16)</f>
        <v>15799693</v>
      </c>
      <c r="E17" s="3" t="n">
        <f aca="false">SUM(E2:E16)</f>
        <v>2459614</v>
      </c>
      <c r="F17" s="3" t="n">
        <f aca="false">SUM(F2:F16)</f>
        <v>1967691</v>
      </c>
      <c r="G17" s="3" t="n">
        <f aca="false">SUM(G2:G16)</f>
        <v>1919761</v>
      </c>
      <c r="H17" s="3" t="n">
        <f aca="false">SUM(H2:H16)</f>
        <v>150000</v>
      </c>
      <c r="I17" s="3" t="n">
        <f aca="false">SUM(I2:I16)</f>
        <v>150000</v>
      </c>
      <c r="J17" s="3" t="n">
        <f aca="false">SUM(J2:J16)</f>
        <v>146997</v>
      </c>
      <c r="K17" s="3" t="n">
        <f aca="false">SUM(K2:K16)</f>
        <v>148987</v>
      </c>
    </row>
    <row r="18" customFormat="false" ht="16.15" hidden="false" customHeight="false" outlineLevel="0" collapsed="false">
      <c r="E18" s="38"/>
      <c r="F18" s="29"/>
      <c r="G18" s="3"/>
      <c r="H18" s="38"/>
      <c r="I18" s="30"/>
    </row>
    <row r="19" customFormat="false" ht="16.15" hidden="false" customHeight="false" outlineLevel="0" collapsed="false">
      <c r="E19" s="38"/>
      <c r="F19" s="29"/>
      <c r="G19" s="3"/>
      <c r="H19" s="30"/>
      <c r="I19" s="30"/>
    </row>
    <row r="20" s="3" customFormat="true" ht="16.15" hidden="false" customHeight="false" outlineLevel="0" collapsed="false">
      <c r="A20" s="3" t="s">
        <v>90</v>
      </c>
      <c r="C20" s="3" t="n">
        <v>84</v>
      </c>
      <c r="D20" s="3" t="n">
        <v>56</v>
      </c>
      <c r="E20" s="3" t="n">
        <v>56</v>
      </c>
      <c r="F20" s="3" t="n">
        <v>56</v>
      </c>
      <c r="G20" s="3" t="n">
        <v>56</v>
      </c>
      <c r="H20" s="30" t="n">
        <v>56</v>
      </c>
      <c r="I20" s="30" t="n">
        <v>56</v>
      </c>
      <c r="XFD20" s="2"/>
    </row>
    <row r="21" customFormat="false" ht="16.15" hidden="false" customHeight="false" outlineLevel="0" collapsed="false">
      <c r="G21" s="3"/>
      <c r="H21" s="30"/>
      <c r="I21" s="30"/>
    </row>
    <row r="22" customFormat="false" ht="16.15" hidden="false" customHeight="false" outlineLevel="0" collapsed="false">
      <c r="G22" s="3"/>
      <c r="H22" s="30"/>
      <c r="I22" s="30"/>
    </row>
    <row r="23" customFormat="false" ht="16.15" hidden="false" customHeight="false" outlineLevel="0" collapsed="false">
      <c r="G23" s="3"/>
    </row>
    <row r="24" customFormat="false" ht="16.15" hidden="false" customHeight="false" outlineLevel="0" collapsed="false">
      <c r="G24" s="3"/>
    </row>
    <row r="25" customFormat="false" ht="16.15" hidden="false" customHeight="false" outlineLevel="0" collapsed="false">
      <c r="G25" s="3"/>
    </row>
    <row r="26" customFormat="false" ht="16.15" hidden="false" customHeight="false" outlineLevel="0" collapsed="false">
      <c r="G26" s="3"/>
    </row>
    <row r="27" customFormat="false" ht="16.15" hidden="false" customHeight="false" outlineLevel="0" collapsed="false">
      <c r="G27" s="3"/>
    </row>
    <row r="28" customFormat="false" ht="16.15" hidden="false" customHeight="false" outlineLevel="0" collapsed="false">
      <c r="G28" s="3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true" showRowColHeaders="true" showZeros="true" rightToLeft="false" tabSelected="false" showOutlineSymbols="true" defaultGridColor="true" view="normal" topLeftCell="A16" colorId="64" zoomScale="75" zoomScaleNormal="75" zoomScalePageLayoutView="100" workbookViewId="0">
      <selection pane="topLeft" activeCell="C13" activeCellId="0" sqref="C1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0.07"/>
    <col collapsed="false" customWidth="true" hidden="false" outlineLevel="0" max="2" min="2" style="39" width="92.37"/>
    <col collapsed="false" customWidth="true" hidden="false" outlineLevel="0" max="3" min="3" style="40" width="56.45"/>
    <col collapsed="false" customWidth="true" hidden="false" outlineLevel="0" max="4" min="4" style="39" width="61.53"/>
    <col collapsed="false" customWidth="true" hidden="false" outlineLevel="0" max="5" min="5" style="39" width="68.71"/>
    <col collapsed="false" customWidth="true" hidden="false" outlineLevel="0" max="6" min="6" style="2" width="59.58"/>
  </cols>
  <sheetData>
    <row r="1" s="44" customFormat="true" ht="16.4" hidden="false" customHeight="false" outlineLevel="0" collapsed="false">
      <c r="A1" s="4" t="s">
        <v>0</v>
      </c>
      <c r="B1" s="4" t="s">
        <v>1</v>
      </c>
      <c r="C1" s="41" t="s">
        <v>2</v>
      </c>
      <c r="D1" s="4" t="s">
        <v>3</v>
      </c>
      <c r="E1" s="4" t="s">
        <v>4</v>
      </c>
      <c r="F1" s="42" t="s">
        <v>91</v>
      </c>
      <c r="G1" s="43"/>
      <c r="H1" s="43"/>
    </row>
    <row r="2" customFormat="false" ht="16.4" hidden="false" customHeight="false" outlineLevel="0" collapsed="false">
      <c r="A2" s="6"/>
      <c r="B2" s="10" t="s">
        <v>92</v>
      </c>
      <c r="C2" s="11" t="s">
        <v>7</v>
      </c>
      <c r="D2" s="10" t="s">
        <v>93</v>
      </c>
      <c r="E2" s="10" t="s">
        <v>9</v>
      </c>
      <c r="F2" s="45"/>
      <c r="G2" s="46"/>
      <c r="H2" s="46"/>
    </row>
    <row r="3" customFormat="false" ht="201.45" hidden="false" customHeight="true" outlineLevel="0" collapsed="false">
      <c r="A3" s="6"/>
      <c r="B3" s="10" t="s">
        <v>94</v>
      </c>
      <c r="C3" s="11" t="s">
        <v>95</v>
      </c>
      <c r="D3" s="10" t="s">
        <v>93</v>
      </c>
      <c r="E3" s="10" t="s">
        <v>96</v>
      </c>
      <c r="F3" s="47"/>
      <c r="G3" s="46"/>
      <c r="H3" s="46"/>
    </row>
    <row r="4" customFormat="false" ht="76.85" hidden="false" customHeight="true" outlineLevel="0" collapsed="false">
      <c r="A4" s="6"/>
      <c r="B4" s="10" t="s">
        <v>97</v>
      </c>
      <c r="C4" s="11" t="s">
        <v>11</v>
      </c>
      <c r="D4" s="10" t="s">
        <v>93</v>
      </c>
      <c r="E4" s="10" t="s">
        <v>9</v>
      </c>
      <c r="F4" s="47"/>
      <c r="G4" s="46"/>
      <c r="H4" s="46"/>
    </row>
    <row r="5" customFormat="false" ht="61.15" hidden="false" customHeight="false" outlineLevel="0" collapsed="false">
      <c r="A5" s="6"/>
      <c r="B5" s="10" t="s">
        <v>98</v>
      </c>
      <c r="C5" s="11" t="s">
        <v>11</v>
      </c>
      <c r="D5" s="10" t="s">
        <v>96</v>
      </c>
      <c r="E5" s="10" t="s">
        <v>9</v>
      </c>
      <c r="F5" s="47"/>
      <c r="G5" s="46"/>
      <c r="H5" s="46"/>
    </row>
    <row r="6" customFormat="false" ht="73.85" hidden="false" customHeight="true" outlineLevel="0" collapsed="false">
      <c r="A6" s="6"/>
      <c r="B6" s="7" t="s">
        <v>99</v>
      </c>
      <c r="C6" s="11" t="s">
        <v>20</v>
      </c>
      <c r="D6" s="10" t="s">
        <v>96</v>
      </c>
      <c r="E6" s="11" t="s">
        <v>100</v>
      </c>
      <c r="F6" s="47"/>
      <c r="G6" s="46"/>
      <c r="H6" s="46"/>
    </row>
    <row r="7" customFormat="false" ht="231.3" hidden="false" customHeight="true" outlineLevel="0" collapsed="false">
      <c r="A7" s="13" t="s">
        <v>22</v>
      </c>
      <c r="B7" s="14" t="s">
        <v>101</v>
      </c>
      <c r="C7" s="15" t="s">
        <v>24</v>
      </c>
      <c r="D7" s="15" t="s">
        <v>100</v>
      </c>
      <c r="E7" s="15" t="s">
        <v>102</v>
      </c>
      <c r="F7" s="45"/>
      <c r="G7" s="12"/>
      <c r="H7" s="12"/>
    </row>
    <row r="8" customFormat="false" ht="84" hidden="false" customHeight="true" outlineLevel="0" collapsed="false">
      <c r="A8" s="13" t="s">
        <v>27</v>
      </c>
      <c r="B8" s="14" t="s">
        <v>103</v>
      </c>
      <c r="C8" s="15" t="s">
        <v>29</v>
      </c>
      <c r="D8" s="15" t="s">
        <v>100</v>
      </c>
      <c r="E8" s="15" t="s">
        <v>104</v>
      </c>
      <c r="F8" s="45"/>
      <c r="G8" s="46"/>
      <c r="H8" s="46"/>
    </row>
    <row r="9" customFormat="false" ht="241.6" hidden="false" customHeight="true" outlineLevel="0" collapsed="false">
      <c r="A9" s="13" t="s">
        <v>27</v>
      </c>
      <c r="B9" s="14" t="s">
        <v>105</v>
      </c>
      <c r="C9" s="15" t="s">
        <v>24</v>
      </c>
      <c r="D9" s="15" t="s">
        <v>104</v>
      </c>
      <c r="E9" s="15" t="s">
        <v>106</v>
      </c>
      <c r="F9" s="45"/>
      <c r="G9" s="46"/>
      <c r="H9" s="46"/>
    </row>
    <row r="10" customFormat="false" ht="126" hidden="false" customHeight="true" outlineLevel="0" collapsed="false">
      <c r="A10" s="13" t="s">
        <v>33</v>
      </c>
      <c r="B10" s="14" t="s">
        <v>107</v>
      </c>
      <c r="C10" s="15" t="s">
        <v>35</v>
      </c>
      <c r="D10" s="15" t="s">
        <v>100</v>
      </c>
      <c r="E10" s="15" t="s">
        <v>108</v>
      </c>
      <c r="F10" s="45"/>
      <c r="G10" s="46"/>
      <c r="H10" s="46"/>
    </row>
    <row r="11" s="2" customFormat="true" ht="225.1" hidden="false" customHeight="true" outlineLevel="0" collapsed="false">
      <c r="A11" s="13" t="s">
        <v>33</v>
      </c>
      <c r="B11" s="14" t="s">
        <v>109</v>
      </c>
      <c r="C11" s="15" t="s">
        <v>24</v>
      </c>
      <c r="D11" s="15" t="s">
        <v>108</v>
      </c>
      <c r="E11" s="15" t="s">
        <v>110</v>
      </c>
      <c r="F11" s="45"/>
      <c r="G11" s="46"/>
      <c r="H11" s="46"/>
    </row>
    <row r="12" s="2" customFormat="true" ht="176.3" hidden="false" customHeight="true" outlineLevel="0" collapsed="false">
      <c r="A12" s="13" t="s">
        <v>33</v>
      </c>
      <c r="B12" s="15" t="s">
        <v>111</v>
      </c>
      <c r="C12" s="15" t="s">
        <v>40</v>
      </c>
      <c r="D12" s="15" t="s">
        <v>112</v>
      </c>
      <c r="E12" s="15"/>
      <c r="F12" s="17" t="s">
        <v>113</v>
      </c>
      <c r="G12" s="46"/>
      <c r="H12" s="46"/>
    </row>
    <row r="13" s="2" customFormat="true" ht="211.9" hidden="false" customHeight="true" outlineLevel="0" collapsed="false">
      <c r="A13" s="18" t="s">
        <v>33</v>
      </c>
      <c r="B13" s="19" t="s">
        <v>114</v>
      </c>
      <c r="C13" s="19" t="s">
        <v>44</v>
      </c>
      <c r="D13" s="19" t="s">
        <v>115</v>
      </c>
      <c r="E13" s="19"/>
      <c r="F13" s="20"/>
      <c r="G13" s="46"/>
      <c r="H13" s="46"/>
    </row>
    <row r="14" s="48" customFormat="true" ht="231.3" hidden="false" customHeight="true" outlineLevel="0" collapsed="false">
      <c r="A14" s="13" t="s">
        <v>46</v>
      </c>
      <c r="B14" s="15" t="s">
        <v>116</v>
      </c>
      <c r="C14" s="15" t="s">
        <v>29</v>
      </c>
      <c r="D14" s="15" t="s">
        <v>117</v>
      </c>
      <c r="E14" s="15" t="s">
        <v>118</v>
      </c>
      <c r="F14" s="17"/>
    </row>
    <row r="15" customFormat="false" ht="231.3" hidden="false" customHeight="true" outlineLevel="0" collapsed="false">
      <c r="A15" s="6" t="s">
        <v>46</v>
      </c>
      <c r="B15" s="11" t="s">
        <v>119</v>
      </c>
      <c r="C15" s="11" t="s">
        <v>24</v>
      </c>
      <c r="D15" s="11" t="s">
        <v>118</v>
      </c>
      <c r="E15" s="11" t="s">
        <v>120</v>
      </c>
      <c r="F15" s="9"/>
    </row>
    <row r="16" customFormat="false" ht="150.45" hidden="false" customHeight="true" outlineLevel="0" collapsed="false">
      <c r="A16" s="13" t="s">
        <v>52</v>
      </c>
      <c r="B16" s="14" t="s">
        <v>121</v>
      </c>
      <c r="C16" s="15" t="s">
        <v>35</v>
      </c>
      <c r="D16" s="15" t="s">
        <v>100</v>
      </c>
      <c r="E16" s="15" t="s">
        <v>122</v>
      </c>
      <c r="F16" s="45"/>
      <c r="G16" s="46"/>
      <c r="H16" s="46"/>
    </row>
    <row r="17" customFormat="false" ht="210.8" hidden="false" customHeight="true" outlineLevel="0" collapsed="false">
      <c r="A17" s="13" t="s">
        <v>52</v>
      </c>
      <c r="B17" s="14" t="s">
        <v>123</v>
      </c>
      <c r="C17" s="15" t="s">
        <v>24</v>
      </c>
      <c r="D17" s="15" t="s">
        <v>122</v>
      </c>
      <c r="E17" s="15" t="s">
        <v>124</v>
      </c>
      <c r="F17" s="45"/>
      <c r="G17" s="46"/>
      <c r="H17" s="46"/>
    </row>
    <row r="18" customFormat="false" ht="177.35" hidden="false" customHeight="true" outlineLevel="0" collapsed="false">
      <c r="A18" s="18" t="s">
        <v>52</v>
      </c>
      <c r="B18" s="19" t="s">
        <v>125</v>
      </c>
      <c r="C18" s="19" t="s">
        <v>40</v>
      </c>
      <c r="D18" s="19" t="s">
        <v>126</v>
      </c>
      <c r="E18" s="19"/>
      <c r="F18" s="20" t="s">
        <v>127</v>
      </c>
      <c r="G18" s="46"/>
      <c r="H18" s="46"/>
    </row>
    <row r="19" customFormat="false" ht="202.95" hidden="false" customHeight="true" outlineLevel="0" collapsed="false">
      <c r="A19" s="21" t="s">
        <v>52</v>
      </c>
      <c r="B19" s="22" t="s">
        <v>128</v>
      </c>
      <c r="C19" s="22" t="s">
        <v>44</v>
      </c>
      <c r="D19" s="22" t="s">
        <v>129</v>
      </c>
      <c r="E19" s="22"/>
      <c r="F19" s="23"/>
      <c r="G19" s="46"/>
      <c r="H19" s="46"/>
    </row>
    <row r="20" customFormat="false" ht="156.2" hidden="false" customHeight="true" outlineLevel="0" collapsed="false">
      <c r="A20" s="13" t="s">
        <v>63</v>
      </c>
      <c r="B20" s="15" t="s">
        <v>130</v>
      </c>
      <c r="C20" s="15" t="s">
        <v>29</v>
      </c>
      <c r="D20" s="15" t="s">
        <v>131</v>
      </c>
      <c r="E20" s="15" t="s">
        <v>132</v>
      </c>
      <c r="F20" s="17"/>
      <c r="G20" s="46"/>
      <c r="H20" s="46"/>
    </row>
    <row r="21" customFormat="false" ht="248.75" hidden="false" customHeight="true" outlineLevel="0" collapsed="false">
      <c r="A21" s="6" t="s">
        <v>63</v>
      </c>
      <c r="B21" s="11" t="s">
        <v>133</v>
      </c>
      <c r="C21" s="11" t="s">
        <v>24</v>
      </c>
      <c r="D21" s="11" t="s">
        <v>132</v>
      </c>
      <c r="E21" s="11" t="s">
        <v>134</v>
      </c>
      <c r="F21" s="9"/>
      <c r="G21" s="46"/>
      <c r="H21" s="46"/>
    </row>
    <row r="22" customFormat="false" ht="16.15" hidden="false" customHeight="false" outlineLevel="0" collapsed="false">
      <c r="G22" s="46"/>
      <c r="H22" s="46"/>
    </row>
    <row r="23" customFormat="false" ht="16.15" hidden="false" customHeight="false" outlineLevel="0" collapsed="false">
      <c r="G23" s="46"/>
      <c r="H23" s="46"/>
    </row>
    <row r="24" customFormat="false" ht="16.15" hidden="false" customHeight="false" outlineLevel="0" collapsed="false">
      <c r="G24" s="46"/>
      <c r="H24" s="46"/>
    </row>
    <row r="25" customFormat="false" ht="16.15" hidden="false" customHeight="false" outlineLevel="0" collapsed="false">
      <c r="G25" s="46"/>
      <c r="H25" s="46"/>
    </row>
    <row r="26" customFormat="false" ht="16.15" hidden="false" customHeight="false" outlineLevel="0" collapsed="false">
      <c r="G26" s="46"/>
      <c r="H26" s="46"/>
    </row>
    <row r="27" customFormat="false" ht="16.15" hidden="false" customHeight="false" outlineLevel="0" collapsed="false">
      <c r="G27" s="46"/>
      <c r="H27" s="46"/>
    </row>
    <row r="28" customFormat="false" ht="16.15" hidden="false" customHeight="false" outlineLevel="0" collapsed="false">
      <c r="G28" s="46"/>
      <c r="H28" s="46"/>
    </row>
    <row r="29" customFormat="false" ht="16.15" hidden="false" customHeight="false" outlineLevel="0" collapsed="false">
      <c r="G29" s="46"/>
      <c r="H29" s="46"/>
    </row>
    <row r="30" customFormat="false" ht="16.15" hidden="false" customHeight="false" outlineLevel="0" collapsed="false">
      <c r="G30" s="46"/>
      <c r="H30" s="46"/>
    </row>
    <row r="31" customFormat="false" ht="16.15" hidden="false" customHeight="false" outlineLevel="0" collapsed="false">
      <c r="G31" s="46"/>
      <c r="H31" s="46"/>
    </row>
    <row r="32" customFormat="false" ht="16.15" hidden="false" customHeight="false" outlineLevel="0" collapsed="false">
      <c r="G32" s="46"/>
      <c r="H32" s="46"/>
    </row>
    <row r="33" customFormat="false" ht="16.15" hidden="false" customHeight="false" outlineLevel="0" collapsed="false">
      <c r="G33" s="46"/>
      <c r="H33" s="46"/>
    </row>
    <row r="34" customFormat="false" ht="16.15" hidden="false" customHeight="false" outlineLevel="0" collapsed="false">
      <c r="G34" s="46"/>
      <c r="H34" s="46"/>
    </row>
    <row r="35" customFormat="false" ht="16.15" hidden="false" customHeight="false" outlineLevel="0" collapsed="false">
      <c r="G35" s="46"/>
      <c r="H35" s="46"/>
    </row>
    <row r="36" customFormat="false" ht="16.15" hidden="false" customHeight="false" outlineLevel="0" collapsed="false">
      <c r="G36" s="46"/>
      <c r="H36" s="46"/>
    </row>
    <row r="37" customFormat="false" ht="16.15" hidden="false" customHeight="false" outlineLevel="0" collapsed="false">
      <c r="G37" s="46"/>
      <c r="H37" s="46"/>
    </row>
    <row r="38" customFormat="false" ht="16.15" hidden="false" customHeight="false" outlineLevel="0" collapsed="false">
      <c r="G38" s="46"/>
      <c r="H38" s="46"/>
    </row>
    <row r="39" customFormat="false" ht="16.15" hidden="false" customHeight="false" outlineLevel="0" collapsed="false">
      <c r="G39" s="46"/>
      <c r="H39" s="46"/>
    </row>
    <row r="40" customFormat="false" ht="16.15" hidden="false" customHeight="false" outlineLevel="0" collapsed="false">
      <c r="G40" s="46"/>
      <c r="H40" s="46"/>
    </row>
    <row r="41" customFormat="false" ht="16.15" hidden="false" customHeight="false" outlineLevel="0" collapsed="false">
      <c r="G41" s="46"/>
      <c r="H41" s="4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5"/>
  <sheetViews>
    <sheetView showFormulas="false" showGridLines="true" showRowColHeaders="true" showZeros="true" rightToLeft="false" tabSelected="false" showOutlineSymbols="true" defaultGridColor="true" view="normal" topLeftCell="G1" colorId="64" zoomScale="75" zoomScaleNormal="75" zoomScalePageLayoutView="100" workbookViewId="0">
      <selection pane="topLeft" activeCell="H24" activeCellId="0" sqref="H24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45.35"/>
    <col collapsed="false" customWidth="true" hidden="false" outlineLevel="0" max="2" min="2" style="3" width="26.01"/>
    <col collapsed="false" customWidth="true" hidden="false" outlineLevel="0" max="3" min="3" style="3" width="21.69"/>
    <col collapsed="false" customWidth="true" hidden="false" outlineLevel="0" max="4" min="4" style="3" width="25.12"/>
    <col collapsed="false" customWidth="true" hidden="false" outlineLevel="0" max="6" min="5" style="3" width="19.74"/>
    <col collapsed="false" customWidth="true" hidden="false" outlineLevel="0" max="8" min="7" style="3" width="25.51"/>
    <col collapsed="false" customWidth="true" hidden="false" outlineLevel="0" max="9" min="9" style="3" width="28.18"/>
    <col collapsed="false" customWidth="true" hidden="false" outlineLevel="0" max="10" min="10" style="3" width="30.07"/>
    <col collapsed="false" customWidth="false" hidden="false" outlineLevel="0" max="12" min="11" style="3" width="10.16"/>
  </cols>
  <sheetData>
    <row r="1" s="52" customFormat="true" ht="16.15" hidden="false" customHeight="false" outlineLevel="0" collapsed="false">
      <c r="A1" s="24" t="s">
        <v>69</v>
      </c>
      <c r="B1" s="25" t="s">
        <v>70</v>
      </c>
      <c r="C1" s="25" t="s">
        <v>135</v>
      </c>
      <c r="D1" s="25" t="s">
        <v>72</v>
      </c>
      <c r="E1" s="49" t="s">
        <v>136</v>
      </c>
      <c r="F1" s="49" t="s">
        <v>27</v>
      </c>
      <c r="G1" s="50" t="s">
        <v>33</v>
      </c>
      <c r="H1" s="50" t="s">
        <v>52</v>
      </c>
      <c r="I1" s="50" t="s">
        <v>46</v>
      </c>
      <c r="J1" s="50" t="s">
        <v>63</v>
      </c>
      <c r="K1" s="51"/>
      <c r="XFD1" s="2"/>
    </row>
    <row r="2" customFormat="false" ht="16.4" hidden="false" customHeight="false" outlineLevel="0" collapsed="false">
      <c r="A2" s="53" t="s">
        <v>75</v>
      </c>
      <c r="B2" s="54" t="n">
        <v>0</v>
      </c>
      <c r="C2" s="54" t="n">
        <v>2273097</v>
      </c>
      <c r="D2" s="55" t="n">
        <v>2095051</v>
      </c>
      <c r="E2" s="30" t="n">
        <v>1676040</v>
      </c>
      <c r="F2" s="33" t="n">
        <v>1661804</v>
      </c>
      <c r="G2" s="33" t="n">
        <v>10000</v>
      </c>
      <c r="H2" s="33" t="n">
        <v>10000</v>
      </c>
      <c r="I2" s="30" t="n">
        <v>10000</v>
      </c>
      <c r="J2" s="30" t="n">
        <v>10000</v>
      </c>
      <c r="L2" s="2"/>
    </row>
    <row r="3" customFormat="false" ht="16.4" hidden="false" customHeight="false" outlineLevel="0" collapsed="false">
      <c r="A3" s="53" t="s">
        <v>137</v>
      </c>
      <c r="B3" s="54" t="n">
        <v>1</v>
      </c>
      <c r="C3" s="54" t="n">
        <v>231073</v>
      </c>
      <c r="D3" s="55" t="n">
        <v>172846</v>
      </c>
      <c r="E3" s="30" t="n">
        <v>138277</v>
      </c>
      <c r="F3" s="33" t="n">
        <v>135226</v>
      </c>
      <c r="G3" s="33" t="n">
        <v>10000</v>
      </c>
      <c r="H3" s="33" t="n">
        <v>10000</v>
      </c>
      <c r="I3" s="30" t="n">
        <v>9656</v>
      </c>
      <c r="J3" s="30" t="n">
        <v>9968</v>
      </c>
      <c r="L3" s="2"/>
    </row>
    <row r="4" customFormat="false" ht="16.4" hidden="false" customHeight="false" outlineLevel="0" collapsed="false">
      <c r="A4" s="53" t="s">
        <v>138</v>
      </c>
      <c r="B4" s="54" t="n">
        <v>2</v>
      </c>
      <c r="C4" s="54" t="n">
        <v>128027</v>
      </c>
      <c r="D4" s="55" t="n">
        <v>128014</v>
      </c>
      <c r="E4" s="30" t="n">
        <v>102411</v>
      </c>
      <c r="F4" s="33" t="n">
        <v>101341</v>
      </c>
      <c r="G4" s="33" t="n">
        <v>10000</v>
      </c>
      <c r="H4" s="33" t="n">
        <v>10000</v>
      </c>
      <c r="I4" s="30" t="n">
        <v>9765</v>
      </c>
      <c r="J4" s="30" t="n">
        <v>9995</v>
      </c>
      <c r="L4" s="2"/>
    </row>
    <row r="5" customFormat="false" ht="16.4" hidden="false" customHeight="false" outlineLevel="0" collapsed="false">
      <c r="A5" s="53" t="s">
        <v>139</v>
      </c>
      <c r="B5" s="54" t="n">
        <v>3</v>
      </c>
      <c r="C5" s="54" t="n">
        <v>158930</v>
      </c>
      <c r="D5" s="55" t="n">
        <v>90694</v>
      </c>
      <c r="E5" s="30" t="n">
        <v>72555</v>
      </c>
      <c r="F5" s="33" t="n">
        <v>66678</v>
      </c>
      <c r="G5" s="33" t="n">
        <v>10000</v>
      </c>
      <c r="H5" s="33" t="n">
        <v>10000</v>
      </c>
      <c r="I5" s="30" t="n">
        <v>9712</v>
      </c>
      <c r="J5" s="30" t="n">
        <v>9960</v>
      </c>
      <c r="L5" s="2"/>
    </row>
    <row r="6" customFormat="false" ht="16.4" hidden="false" customHeight="false" outlineLevel="0" collapsed="false">
      <c r="A6" s="53" t="s">
        <v>140</v>
      </c>
      <c r="B6" s="54" t="n">
        <v>4</v>
      </c>
      <c r="C6" s="54" t="n">
        <v>10293</v>
      </c>
      <c r="D6" s="55" t="n">
        <v>10286</v>
      </c>
      <c r="E6" s="30" t="n">
        <v>8229</v>
      </c>
      <c r="F6" s="33" t="n">
        <v>7672</v>
      </c>
      <c r="G6" s="33" t="n">
        <v>10000</v>
      </c>
      <c r="H6" s="33" t="n">
        <v>10000</v>
      </c>
      <c r="I6" s="30" t="n">
        <v>9913</v>
      </c>
      <c r="J6" s="30" t="n">
        <v>9958</v>
      </c>
      <c r="L6" s="2"/>
    </row>
    <row r="7" customFormat="false" ht="16.4" hidden="false" customHeight="false" outlineLevel="0" collapsed="false">
      <c r="A7" s="53" t="s">
        <v>141</v>
      </c>
      <c r="B7" s="54" t="n">
        <v>5</v>
      </c>
      <c r="C7" s="54" t="n">
        <v>7938</v>
      </c>
      <c r="D7" s="55" t="n">
        <v>5931</v>
      </c>
      <c r="E7" s="30" t="n">
        <v>4745</v>
      </c>
      <c r="F7" s="33" t="n">
        <v>4648</v>
      </c>
      <c r="G7" s="33" t="n">
        <v>10000</v>
      </c>
      <c r="H7" s="33" t="n">
        <v>10000</v>
      </c>
      <c r="I7" s="30" t="n">
        <v>9908</v>
      </c>
      <c r="J7" s="30" t="n">
        <v>9923</v>
      </c>
      <c r="L7" s="2"/>
    </row>
    <row r="8" customFormat="false" ht="16.4" hidden="false" customHeight="false" outlineLevel="0" collapsed="false">
      <c r="A8" s="53" t="s">
        <v>142</v>
      </c>
      <c r="B8" s="54" t="n">
        <v>6</v>
      </c>
      <c r="C8" s="54" t="n">
        <v>5796</v>
      </c>
      <c r="D8" s="55" t="n">
        <v>5385</v>
      </c>
      <c r="E8" s="30" t="n">
        <v>4308</v>
      </c>
      <c r="F8" s="33" t="n">
        <v>4034</v>
      </c>
      <c r="G8" s="33" t="n">
        <v>10000</v>
      </c>
      <c r="H8" s="33" t="n">
        <v>10000</v>
      </c>
      <c r="I8" s="30" t="n">
        <v>9637</v>
      </c>
      <c r="J8" s="30" t="n">
        <v>9785</v>
      </c>
      <c r="L8" s="2"/>
    </row>
    <row r="9" customFormat="false" ht="16.4" hidden="false" customHeight="false" outlineLevel="0" collapsed="false">
      <c r="A9" s="53" t="s">
        <v>143</v>
      </c>
      <c r="B9" s="54" t="n">
        <v>7</v>
      </c>
      <c r="C9" s="54" t="n">
        <v>5499</v>
      </c>
      <c r="D9" s="55" t="n">
        <v>5228</v>
      </c>
      <c r="E9" s="30" t="n">
        <v>4182</v>
      </c>
      <c r="F9" s="33" t="n">
        <v>3921</v>
      </c>
      <c r="G9" s="33" t="n">
        <v>10000</v>
      </c>
      <c r="H9" s="33" t="n">
        <v>10000</v>
      </c>
      <c r="I9" s="30" t="n">
        <v>9814</v>
      </c>
      <c r="J9" s="30" t="n">
        <v>9872</v>
      </c>
      <c r="L9" s="2"/>
    </row>
    <row r="10" customFormat="false" ht="16.4" hidden="false" customHeight="false" outlineLevel="0" collapsed="false">
      <c r="A10" s="53" t="s">
        <v>144</v>
      </c>
      <c r="B10" s="54" t="n">
        <v>8</v>
      </c>
      <c r="C10" s="54" t="n">
        <v>5897</v>
      </c>
      <c r="D10" s="55" t="n">
        <v>3219</v>
      </c>
      <c r="E10" s="30" t="n">
        <v>2575</v>
      </c>
      <c r="F10" s="33" t="n">
        <v>2369</v>
      </c>
      <c r="G10" s="33" t="n">
        <v>10000</v>
      </c>
      <c r="H10" s="33" t="n">
        <v>10000</v>
      </c>
      <c r="I10" s="30" t="n">
        <v>9622</v>
      </c>
      <c r="J10" s="30" t="n">
        <v>9637</v>
      </c>
      <c r="L10" s="2"/>
    </row>
    <row r="11" customFormat="false" ht="16.4" hidden="false" customHeight="false" outlineLevel="0" collapsed="false">
      <c r="A11" s="53" t="s">
        <v>79</v>
      </c>
      <c r="B11" s="54" t="n">
        <v>9</v>
      </c>
      <c r="C11" s="54" t="n">
        <v>1966</v>
      </c>
      <c r="D11" s="55" t="n">
        <v>1948</v>
      </c>
      <c r="E11" s="30" t="n">
        <v>1558</v>
      </c>
      <c r="F11" s="33" t="n">
        <v>717</v>
      </c>
      <c r="G11" s="33" t="n">
        <v>10000</v>
      </c>
      <c r="H11" s="33" t="n">
        <v>10000</v>
      </c>
      <c r="I11" s="30" t="n">
        <v>9832</v>
      </c>
      <c r="J11" s="30" t="n">
        <v>9979</v>
      </c>
      <c r="L11" s="2"/>
    </row>
    <row r="12" customFormat="false" ht="16.4" hidden="false" customHeight="false" outlineLevel="0" collapsed="false">
      <c r="A12" s="53" t="s">
        <v>145</v>
      </c>
      <c r="B12" s="54" t="n">
        <v>10</v>
      </c>
      <c r="C12" s="54" t="n">
        <v>1507</v>
      </c>
      <c r="D12" s="55" t="n">
        <v>1470</v>
      </c>
      <c r="E12" s="30" t="n">
        <v>1176</v>
      </c>
      <c r="F12" s="33" t="n">
        <v>469</v>
      </c>
      <c r="G12" s="33" t="n">
        <v>10000</v>
      </c>
      <c r="H12" s="33" t="n">
        <v>10000</v>
      </c>
      <c r="I12" s="30" t="n">
        <v>5782</v>
      </c>
      <c r="J12" s="30" t="n">
        <v>5793</v>
      </c>
      <c r="L12" s="2"/>
    </row>
    <row r="13" customFormat="false" ht="16.4" hidden="false" customHeight="false" outlineLevel="0" collapsed="false">
      <c r="A13" s="53" t="s">
        <v>146</v>
      </c>
      <c r="B13" s="54" t="n">
        <v>11</v>
      </c>
      <c r="C13" s="54" t="n">
        <v>652</v>
      </c>
      <c r="D13" s="55" t="n">
        <v>652</v>
      </c>
      <c r="E13" s="30" t="n">
        <v>522</v>
      </c>
      <c r="F13" s="33" t="n">
        <v>47</v>
      </c>
      <c r="G13" s="33" t="n">
        <v>10000</v>
      </c>
      <c r="H13" s="33" t="n">
        <v>10000</v>
      </c>
      <c r="I13" s="30" t="n">
        <v>5862</v>
      </c>
      <c r="J13" s="30" t="n">
        <v>5871</v>
      </c>
      <c r="L13" s="2"/>
    </row>
    <row r="14" customFormat="false" ht="16.4" hidden="false" customHeight="false" outlineLevel="0" collapsed="false">
      <c r="A14" s="53" t="s">
        <v>147</v>
      </c>
      <c r="B14" s="54" t="n">
        <v>12</v>
      </c>
      <c r="C14" s="54" t="n">
        <v>36</v>
      </c>
      <c r="D14" s="55" t="n">
        <v>36</v>
      </c>
      <c r="E14" s="30" t="n">
        <v>29</v>
      </c>
      <c r="F14" s="31" t="n">
        <v>0</v>
      </c>
      <c r="G14" s="33" t="n">
        <v>10000</v>
      </c>
      <c r="H14" s="33" t="n">
        <v>10000</v>
      </c>
      <c r="I14" s="30" t="n">
        <v>9904</v>
      </c>
      <c r="J14" s="30" t="n">
        <v>9934</v>
      </c>
      <c r="L14" s="2"/>
    </row>
    <row r="15" customFormat="false" ht="16.4" hidden="false" customHeight="false" outlineLevel="0" collapsed="false">
      <c r="A15" s="53" t="s">
        <v>148</v>
      </c>
      <c r="B15" s="54" t="n">
        <v>13</v>
      </c>
      <c r="C15" s="54" t="n">
        <v>21</v>
      </c>
      <c r="D15" s="55" t="n">
        <v>21</v>
      </c>
      <c r="E15" s="30" t="n">
        <v>17</v>
      </c>
      <c r="F15" s="31" t="n">
        <v>0</v>
      </c>
      <c r="G15" s="33" t="n">
        <v>10000</v>
      </c>
      <c r="H15" s="33" t="n">
        <v>10000</v>
      </c>
      <c r="I15" s="30" t="n">
        <v>9725</v>
      </c>
      <c r="J15" s="30" t="n">
        <v>9727</v>
      </c>
      <c r="L15" s="2"/>
    </row>
    <row r="16" customFormat="false" ht="16.4" hidden="false" customHeight="false" outlineLevel="0" collapsed="false">
      <c r="A16" s="56" t="s">
        <v>149</v>
      </c>
      <c r="B16" s="57" t="n">
        <v>14</v>
      </c>
      <c r="C16" s="57" t="n">
        <v>11</v>
      </c>
      <c r="D16" s="57" t="n">
        <v>11</v>
      </c>
      <c r="E16" s="36" t="n">
        <v>9</v>
      </c>
      <c r="F16" s="36" t="n">
        <v>9</v>
      </c>
      <c r="G16" s="33" t="n">
        <v>10000</v>
      </c>
      <c r="H16" s="33" t="n">
        <v>10000</v>
      </c>
      <c r="I16" s="30" t="n">
        <v>10000</v>
      </c>
      <c r="J16" s="30" t="n">
        <v>10000</v>
      </c>
      <c r="L16" s="2"/>
    </row>
    <row r="17" customFormat="false" ht="16.15" hidden="false" customHeight="false" outlineLevel="0" collapsed="false">
      <c r="C17" s="3" t="n">
        <f aca="false">SUM(C2:C16)</f>
        <v>2830743</v>
      </c>
      <c r="D17" s="3" t="n">
        <f aca="false">SUM(D2:D16)</f>
        <v>2520792</v>
      </c>
      <c r="E17" s="3" t="n">
        <f aca="false">SUM(E2:E16)</f>
        <v>2016633</v>
      </c>
      <c r="F17" s="3" t="n">
        <f aca="false">SUM(F2:F16)</f>
        <v>1988935</v>
      </c>
      <c r="G17" s="3" t="n">
        <f aca="false">SUM(G2:G16)</f>
        <v>150000</v>
      </c>
      <c r="H17" s="3" t="n">
        <f aca="false">SUM(H2:H16)</f>
        <v>150000</v>
      </c>
      <c r="I17" s="3" t="n">
        <f aca="false">SUM(I2:I16)</f>
        <v>139132</v>
      </c>
      <c r="J17" s="3" t="n">
        <f aca="false">SUM(J2:J16)</f>
        <v>140402</v>
      </c>
      <c r="L17" s="2"/>
    </row>
    <row r="18" customFormat="false" ht="16.15" hidden="false" customHeight="false" outlineLevel="0" collapsed="false">
      <c r="E18" s="38"/>
      <c r="F18" s="29"/>
      <c r="L18" s="2"/>
    </row>
    <row r="19" customFormat="false" ht="16.15" hidden="false" customHeight="false" outlineLevel="0" collapsed="false">
      <c r="E19" s="38"/>
      <c r="F19" s="29"/>
      <c r="L19" s="2"/>
    </row>
    <row r="20" customFormat="false" ht="16.4" hidden="false" customHeight="false" outlineLevel="0" collapsed="false">
      <c r="A20" s="51" t="s">
        <v>90</v>
      </c>
      <c r="C20" s="3" t="n">
        <v>79</v>
      </c>
      <c r="D20" s="30" t="n">
        <v>48</v>
      </c>
      <c r="E20" s="3" t="n">
        <v>48</v>
      </c>
      <c r="F20" s="3" t="n">
        <v>48</v>
      </c>
      <c r="G20" s="3" t="n">
        <v>48</v>
      </c>
      <c r="H20" s="3" t="n">
        <v>48</v>
      </c>
      <c r="L20" s="2"/>
    </row>
    <row r="21" customFormat="false" ht="16.15" hidden="false" customHeight="false" outlineLevel="0" collapsed="false">
      <c r="B21" s="30"/>
      <c r="L21" s="2"/>
    </row>
    <row r="22" customFormat="false" ht="16.15" hidden="false" customHeight="false" outlineLevel="0" collapsed="false">
      <c r="B22" s="30"/>
      <c r="L22" s="2"/>
    </row>
    <row r="23" customFormat="false" ht="16.15" hidden="false" customHeight="false" outlineLevel="0" collapsed="false">
      <c r="B23" s="30"/>
      <c r="L23" s="2"/>
    </row>
    <row r="24" customFormat="false" ht="16.15" hidden="false" customHeight="false" outlineLevel="0" collapsed="false">
      <c r="B24" s="30"/>
      <c r="L24" s="2"/>
    </row>
    <row r="25" customFormat="false" ht="16.15" hidden="false" customHeight="false" outlineLevel="0" collapsed="false">
      <c r="B25" s="30"/>
      <c r="L25" s="2"/>
    </row>
    <row r="26" customFormat="false" ht="16.15" hidden="false" customHeight="false" outlineLevel="0" collapsed="false">
      <c r="B26" s="30"/>
    </row>
    <row r="27" customFormat="false" ht="16.15" hidden="false" customHeight="false" outlineLevel="0" collapsed="false">
      <c r="B27" s="30"/>
    </row>
    <row r="28" customFormat="false" ht="16.15" hidden="false" customHeight="false" outlineLevel="0" collapsed="false">
      <c r="B28" s="30"/>
    </row>
    <row r="29" customFormat="false" ht="16.15" hidden="false" customHeight="false" outlineLevel="0" collapsed="false">
      <c r="B29" s="30"/>
    </row>
    <row r="30" customFormat="false" ht="16.15" hidden="false" customHeight="false" outlineLevel="0" collapsed="false">
      <c r="B30" s="30"/>
    </row>
    <row r="31" customFormat="false" ht="16.15" hidden="false" customHeight="false" outlineLevel="0" collapsed="false">
      <c r="B31" s="30"/>
    </row>
    <row r="32" customFormat="false" ht="16.15" hidden="false" customHeight="false" outlineLevel="0" collapsed="false">
      <c r="B32" s="30"/>
    </row>
    <row r="33" customFormat="false" ht="16.15" hidden="false" customHeight="false" outlineLevel="0" collapsed="false">
      <c r="B33" s="30"/>
    </row>
    <row r="34" customFormat="false" ht="16.15" hidden="false" customHeight="false" outlineLevel="0" collapsed="false">
      <c r="B34" s="30"/>
    </row>
    <row r="35" customFormat="false" ht="16.15" hidden="false" customHeight="false" outlineLevel="0" collapsed="false">
      <c r="B35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31"/>
  <sheetViews>
    <sheetView showFormulas="false" showGridLines="true" showRowColHeaders="true" showZeros="true" rightToLeft="false" tabSelected="false" showOutlineSymbols="true" defaultGridColor="true" view="normal" topLeftCell="A10" colorId="64" zoomScale="75" zoomScaleNormal="75" zoomScalePageLayoutView="100" workbookViewId="0">
      <selection pane="topLeft" activeCell="F13" activeCellId="0" sqref="F13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1" width="36.52"/>
    <col collapsed="false" customWidth="true" hidden="false" outlineLevel="0" max="2" min="2" style="3" width="90.94"/>
    <col collapsed="false" customWidth="true" hidden="false" outlineLevel="0" max="3" min="3" style="3" width="77.9"/>
    <col collapsed="false" customWidth="true" hidden="false" outlineLevel="0" max="4" min="4" style="3" width="65.07"/>
    <col collapsed="false" customWidth="true" hidden="false" outlineLevel="0" max="5" min="5" style="3" width="70"/>
    <col collapsed="false" customWidth="true" hidden="false" outlineLevel="0" max="6" min="6" style="3" width="50.62"/>
  </cols>
  <sheetData>
    <row r="1" customFormat="false" ht="16.1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5" t="s">
        <v>150</v>
      </c>
      <c r="G1" s="46"/>
      <c r="H1" s="46"/>
      <c r="I1" s="46"/>
      <c r="J1" s="46"/>
      <c r="K1" s="46"/>
    </row>
    <row r="2" customFormat="false" ht="28.35" hidden="false" customHeight="true" outlineLevel="0" collapsed="false">
      <c r="A2" s="6"/>
      <c r="B2" s="7" t="s">
        <v>151</v>
      </c>
      <c r="C2" s="7" t="s">
        <v>7</v>
      </c>
      <c r="D2" s="7" t="s">
        <v>152</v>
      </c>
      <c r="E2" s="7" t="s">
        <v>9</v>
      </c>
      <c r="F2" s="8"/>
      <c r="G2" s="46"/>
      <c r="H2" s="46"/>
      <c r="I2" s="46"/>
      <c r="J2" s="46"/>
      <c r="K2" s="46"/>
    </row>
    <row r="3" customFormat="false" ht="74.6" hidden="false" customHeight="true" outlineLevel="0" collapsed="false">
      <c r="A3" s="6"/>
      <c r="B3" s="7" t="s">
        <v>153</v>
      </c>
      <c r="C3" s="9" t="s">
        <v>11</v>
      </c>
      <c r="D3" s="7" t="s">
        <v>152</v>
      </c>
      <c r="E3" s="7" t="s">
        <v>9</v>
      </c>
      <c r="F3" s="8"/>
      <c r="G3" s="46"/>
      <c r="H3" s="46"/>
      <c r="I3" s="46"/>
      <c r="J3" s="46"/>
      <c r="K3" s="46"/>
    </row>
    <row r="4" customFormat="false" ht="173.85" hidden="false" customHeight="true" outlineLevel="0" collapsed="false">
      <c r="A4" s="6"/>
      <c r="B4" s="7" t="s">
        <v>154</v>
      </c>
      <c r="C4" s="9" t="s">
        <v>155</v>
      </c>
      <c r="D4" s="7" t="s">
        <v>152</v>
      </c>
      <c r="E4" s="7" t="s">
        <v>156</v>
      </c>
      <c r="F4" s="8"/>
      <c r="G4" s="46"/>
      <c r="H4" s="46"/>
      <c r="I4" s="46"/>
      <c r="J4" s="46"/>
      <c r="K4" s="46"/>
    </row>
    <row r="5" customFormat="false" ht="85.8" hidden="false" customHeight="true" outlineLevel="0" collapsed="false">
      <c r="A5" s="6"/>
      <c r="B5" s="7" t="s">
        <v>157</v>
      </c>
      <c r="C5" s="9" t="s">
        <v>11</v>
      </c>
      <c r="D5" s="7" t="s">
        <v>156</v>
      </c>
      <c r="E5" s="7" t="s">
        <v>9</v>
      </c>
      <c r="F5" s="8"/>
      <c r="G5" s="46"/>
      <c r="H5" s="46"/>
      <c r="I5" s="46"/>
      <c r="J5" s="46"/>
      <c r="K5" s="46"/>
    </row>
    <row r="6" customFormat="false" ht="75.35" hidden="false" customHeight="true" outlineLevel="0" collapsed="false">
      <c r="A6" s="6"/>
      <c r="B6" s="7" t="s">
        <v>158</v>
      </c>
      <c r="C6" s="9" t="s">
        <v>20</v>
      </c>
      <c r="D6" s="7" t="s">
        <v>156</v>
      </c>
      <c r="E6" s="9" t="s">
        <v>159</v>
      </c>
      <c r="F6" s="8"/>
      <c r="G6" s="46"/>
      <c r="H6" s="46"/>
      <c r="I6" s="46"/>
      <c r="J6" s="46"/>
      <c r="K6" s="46"/>
    </row>
    <row r="7" customFormat="false" ht="224.8" hidden="false" customHeight="true" outlineLevel="0" collapsed="false">
      <c r="A7" s="6" t="s">
        <v>22</v>
      </c>
      <c r="B7" s="10" t="s">
        <v>160</v>
      </c>
      <c r="C7" s="11" t="s">
        <v>24</v>
      </c>
      <c r="D7" s="11" t="s">
        <v>161</v>
      </c>
      <c r="E7" s="11" t="s">
        <v>162</v>
      </c>
      <c r="F7" s="8"/>
      <c r="G7" s="12"/>
      <c r="H7" s="12"/>
    </row>
    <row r="8" customFormat="false" ht="113.4" hidden="false" customHeight="true" outlineLevel="0" collapsed="false">
      <c r="A8" s="6" t="s">
        <v>27</v>
      </c>
      <c r="B8" s="10" t="s">
        <v>163</v>
      </c>
      <c r="C8" s="11" t="s">
        <v>29</v>
      </c>
      <c r="D8" s="11" t="s">
        <v>161</v>
      </c>
      <c r="E8" s="11" t="s">
        <v>164</v>
      </c>
      <c r="F8" s="8"/>
      <c r="G8" s="46"/>
      <c r="H8" s="46"/>
      <c r="I8" s="46"/>
      <c r="J8" s="46"/>
      <c r="K8" s="46"/>
    </row>
    <row r="9" customFormat="false" ht="238.8" hidden="false" customHeight="true" outlineLevel="0" collapsed="false">
      <c r="A9" s="6" t="s">
        <v>27</v>
      </c>
      <c r="B9" s="10" t="s">
        <v>165</v>
      </c>
      <c r="C9" s="11" t="s">
        <v>24</v>
      </c>
      <c r="D9" s="11" t="s">
        <v>164</v>
      </c>
      <c r="E9" s="11" t="s">
        <v>166</v>
      </c>
      <c r="F9" s="8"/>
      <c r="G9" s="46"/>
      <c r="H9" s="46"/>
      <c r="I9" s="46"/>
      <c r="J9" s="46"/>
      <c r="K9" s="46"/>
    </row>
    <row r="10" customFormat="false" ht="106.4" hidden="false" customHeight="true" outlineLevel="0" collapsed="false">
      <c r="A10" s="6" t="s">
        <v>33</v>
      </c>
      <c r="B10" s="10" t="s">
        <v>167</v>
      </c>
      <c r="C10" s="11" t="s">
        <v>35</v>
      </c>
      <c r="D10" s="11" t="s">
        <v>161</v>
      </c>
      <c r="E10" s="11" t="s">
        <v>168</v>
      </c>
      <c r="F10" s="8"/>
      <c r="G10" s="46"/>
      <c r="H10" s="46"/>
      <c r="I10" s="46"/>
      <c r="J10" s="46"/>
      <c r="K10" s="46"/>
    </row>
    <row r="11" s="2" customFormat="true" ht="242.2" hidden="false" customHeight="true" outlineLevel="0" collapsed="false">
      <c r="A11" s="13" t="s">
        <v>33</v>
      </c>
      <c r="B11" s="14" t="s">
        <v>169</v>
      </c>
      <c r="C11" s="15" t="s">
        <v>24</v>
      </c>
      <c r="D11" s="15" t="s">
        <v>168</v>
      </c>
      <c r="E11" s="15" t="s">
        <v>170</v>
      </c>
      <c r="F11" s="16"/>
      <c r="G11" s="46"/>
      <c r="H11" s="46"/>
      <c r="I11" s="46"/>
      <c r="J11" s="46"/>
      <c r="K11" s="46"/>
    </row>
    <row r="12" s="2" customFormat="true" ht="223.85" hidden="false" customHeight="true" outlineLevel="0" collapsed="false">
      <c r="A12" s="18" t="s">
        <v>33</v>
      </c>
      <c r="B12" s="19" t="s">
        <v>171</v>
      </c>
      <c r="C12" s="19" t="s">
        <v>40</v>
      </c>
      <c r="D12" s="19" t="s">
        <v>172</v>
      </c>
      <c r="E12" s="19"/>
      <c r="F12" s="20" t="s">
        <v>173</v>
      </c>
      <c r="G12" s="46"/>
      <c r="H12" s="46"/>
      <c r="I12" s="46"/>
      <c r="J12" s="46"/>
      <c r="K12" s="46"/>
    </row>
    <row r="13" customFormat="false" ht="223.85" hidden="false" customHeight="true" outlineLevel="0" collapsed="false">
      <c r="A13" s="18" t="s">
        <v>46</v>
      </c>
      <c r="B13" s="19" t="s">
        <v>174</v>
      </c>
      <c r="C13" s="19" t="s">
        <v>29</v>
      </c>
      <c r="D13" s="19" t="s">
        <v>175</v>
      </c>
      <c r="E13" s="19" t="s">
        <v>176</v>
      </c>
      <c r="F13" s="20"/>
      <c r="G13" s="46"/>
      <c r="H13" s="46"/>
      <c r="I13" s="46"/>
      <c r="J13" s="46"/>
      <c r="K13" s="46"/>
    </row>
    <row r="14" customFormat="false" ht="223.85" hidden="false" customHeight="true" outlineLevel="0" collapsed="false">
      <c r="A14" s="21" t="s">
        <v>46</v>
      </c>
      <c r="B14" s="58" t="s">
        <v>177</v>
      </c>
      <c r="C14" s="22" t="s">
        <v>24</v>
      </c>
      <c r="D14" s="58" t="s">
        <v>178</v>
      </c>
      <c r="E14" s="22" t="s">
        <v>179</v>
      </c>
      <c r="F14" s="23"/>
      <c r="G14" s="46"/>
      <c r="H14" s="46"/>
      <c r="I14" s="46"/>
      <c r="J14" s="46"/>
      <c r="K14" s="46"/>
    </row>
    <row r="15" customFormat="false" ht="172.45" hidden="false" customHeight="true" outlineLevel="0" collapsed="false">
      <c r="A15" s="6" t="s">
        <v>52</v>
      </c>
      <c r="B15" s="10" t="s">
        <v>180</v>
      </c>
      <c r="C15" s="11" t="s">
        <v>35</v>
      </c>
      <c r="D15" s="11" t="s">
        <v>161</v>
      </c>
      <c r="E15" s="11" t="s">
        <v>181</v>
      </c>
      <c r="F15" s="8"/>
      <c r="G15" s="46"/>
      <c r="H15" s="46"/>
      <c r="I15" s="46"/>
      <c r="J15" s="46"/>
      <c r="K15" s="46"/>
    </row>
    <row r="16" customFormat="false" ht="256.9" hidden="false" customHeight="true" outlineLevel="0" collapsed="false">
      <c r="A16" s="13" t="s">
        <v>52</v>
      </c>
      <c r="B16" s="14" t="s">
        <v>182</v>
      </c>
      <c r="C16" s="15" t="s">
        <v>24</v>
      </c>
      <c r="D16" s="15" t="s">
        <v>181</v>
      </c>
      <c r="E16" s="15" t="s">
        <v>183</v>
      </c>
      <c r="F16" s="16"/>
      <c r="G16" s="46"/>
      <c r="H16" s="46"/>
      <c r="I16" s="46"/>
      <c r="J16" s="46"/>
      <c r="K16" s="46"/>
    </row>
    <row r="17" customFormat="false" ht="194.95" hidden="false" customHeight="true" outlineLevel="0" collapsed="false">
      <c r="A17" s="18" t="s">
        <v>52</v>
      </c>
      <c r="B17" s="19" t="s">
        <v>184</v>
      </c>
      <c r="C17" s="19" t="s">
        <v>40</v>
      </c>
      <c r="D17" s="19" t="s">
        <v>185</v>
      </c>
      <c r="E17" s="19"/>
      <c r="F17" s="20" t="s">
        <v>186</v>
      </c>
      <c r="G17" s="46"/>
      <c r="H17" s="46"/>
      <c r="I17" s="46"/>
      <c r="J17" s="46"/>
      <c r="K17" s="46"/>
    </row>
    <row r="18" customFormat="false" ht="114.4" hidden="false" customHeight="true" outlineLevel="0" collapsed="false">
      <c r="A18" s="18" t="s">
        <v>63</v>
      </c>
      <c r="B18" s="19" t="s">
        <v>187</v>
      </c>
      <c r="C18" s="19" t="s">
        <v>29</v>
      </c>
      <c r="D18" s="19" t="s">
        <v>188</v>
      </c>
      <c r="E18" s="19" t="s">
        <v>189</v>
      </c>
      <c r="F18" s="20"/>
      <c r="G18" s="46"/>
      <c r="H18" s="46"/>
      <c r="I18" s="46"/>
      <c r="J18" s="46"/>
      <c r="K18" s="46"/>
    </row>
    <row r="19" customFormat="false" ht="196" hidden="false" customHeight="false" outlineLevel="0" collapsed="false">
      <c r="A19" s="21" t="s">
        <v>63</v>
      </c>
      <c r="B19" s="22" t="s">
        <v>190</v>
      </c>
      <c r="C19" s="22" t="s">
        <v>24</v>
      </c>
      <c r="D19" s="22" t="s">
        <v>189</v>
      </c>
      <c r="E19" s="22" t="s">
        <v>191</v>
      </c>
      <c r="F19" s="23"/>
      <c r="G19" s="46"/>
      <c r="H19" s="46"/>
      <c r="I19" s="46"/>
      <c r="J19" s="46"/>
      <c r="K19" s="46"/>
    </row>
    <row r="20" customFormat="false" ht="16.15" hidden="false" customHeight="false" outlineLevel="0" collapsed="false">
      <c r="G20" s="46"/>
      <c r="H20" s="46"/>
      <c r="I20" s="46"/>
      <c r="J20" s="46"/>
      <c r="K20" s="46"/>
    </row>
    <row r="21" customFormat="false" ht="16.15" hidden="false" customHeight="false" outlineLevel="0" collapsed="false">
      <c r="G21" s="46"/>
      <c r="H21" s="46"/>
      <c r="I21" s="46"/>
      <c r="J21" s="46"/>
      <c r="K21" s="46"/>
    </row>
    <row r="22" customFormat="false" ht="16.15" hidden="false" customHeight="false" outlineLevel="0" collapsed="false">
      <c r="G22" s="46"/>
      <c r="H22" s="46"/>
      <c r="I22" s="46"/>
      <c r="J22" s="46"/>
      <c r="K22" s="46"/>
    </row>
    <row r="23" customFormat="false" ht="16.15" hidden="false" customHeight="false" outlineLevel="0" collapsed="false">
      <c r="G23" s="46"/>
      <c r="H23" s="46"/>
      <c r="I23" s="46"/>
      <c r="J23" s="46"/>
      <c r="K23" s="46"/>
    </row>
    <row r="24" customFormat="false" ht="16.15" hidden="false" customHeight="false" outlineLevel="0" collapsed="false">
      <c r="G24" s="46"/>
      <c r="H24" s="46"/>
      <c r="I24" s="46"/>
      <c r="J24" s="46"/>
      <c r="K24" s="46"/>
    </row>
    <row r="25" customFormat="false" ht="16.15" hidden="false" customHeight="false" outlineLevel="0" collapsed="false">
      <c r="G25" s="46"/>
      <c r="H25" s="46"/>
      <c r="I25" s="46"/>
      <c r="J25" s="46"/>
      <c r="K25" s="46"/>
    </row>
    <row r="26" customFormat="false" ht="16.15" hidden="false" customHeight="false" outlineLevel="0" collapsed="false">
      <c r="G26" s="46"/>
      <c r="H26" s="46"/>
      <c r="I26" s="46"/>
      <c r="J26" s="46"/>
      <c r="K26" s="46"/>
    </row>
    <row r="27" customFormat="false" ht="16.15" hidden="false" customHeight="false" outlineLevel="0" collapsed="false">
      <c r="G27" s="46"/>
      <c r="H27" s="46"/>
      <c r="I27" s="46"/>
      <c r="J27" s="46"/>
      <c r="K27" s="46"/>
    </row>
    <row r="28" customFormat="false" ht="16.15" hidden="false" customHeight="false" outlineLevel="0" collapsed="false">
      <c r="G28" s="46"/>
      <c r="H28" s="46"/>
      <c r="I28" s="46"/>
      <c r="J28" s="46"/>
      <c r="K28" s="46"/>
    </row>
    <row r="29" customFormat="false" ht="16.15" hidden="false" customHeight="false" outlineLevel="0" collapsed="false">
      <c r="G29" s="46"/>
      <c r="H29" s="46"/>
      <c r="I29" s="46"/>
      <c r="J29" s="46"/>
      <c r="K29" s="46"/>
    </row>
    <row r="30" customFormat="false" ht="16.15" hidden="false" customHeight="false" outlineLevel="0" collapsed="false">
      <c r="G30" s="46"/>
      <c r="H30" s="46"/>
      <c r="I30" s="46"/>
      <c r="J30" s="46"/>
      <c r="K30" s="46"/>
    </row>
    <row r="31" customFormat="false" ht="16.15" hidden="false" customHeight="false" outlineLevel="0" collapsed="false">
      <c r="G31" s="46"/>
      <c r="H31" s="46"/>
      <c r="I31" s="46"/>
      <c r="J31" s="46"/>
      <c r="K31" s="46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34"/>
  <sheetViews>
    <sheetView showFormulas="false" showGridLines="true" showRowColHeaders="true" showZeros="true" rightToLeft="false" tabSelected="false" showOutlineSymbols="true" defaultGridColor="true" view="normal" topLeftCell="A1" colorId="64" zoomScale="75" zoomScaleNormal="75" zoomScalePageLayoutView="100" workbookViewId="0">
      <selection pane="topLeft" activeCell="D19" activeCellId="0" sqref="D19"/>
    </sheetView>
  </sheetViews>
  <sheetFormatPr defaultColWidth="10.18359375" defaultRowHeight="16.15" zeroHeight="false" outlineLevelRow="0" outlineLevelCol="0"/>
  <cols>
    <col collapsed="false" customWidth="true" hidden="false" outlineLevel="0" max="1" min="1" style="3" width="28.63"/>
    <col collapsed="false" customWidth="true" hidden="false" outlineLevel="0" max="2" min="2" style="3" width="17.66"/>
    <col collapsed="false" customWidth="true" hidden="false" outlineLevel="0" max="3" min="3" style="3" width="30.74"/>
    <col collapsed="false" customWidth="true" hidden="false" outlineLevel="0" max="4" min="4" style="3" width="18.35"/>
    <col collapsed="false" customWidth="true" hidden="false" outlineLevel="0" max="5" min="5" style="3" width="25.32"/>
    <col collapsed="false" customWidth="true" hidden="false" outlineLevel="0" max="6" min="6" style="3" width="26.01"/>
    <col collapsed="false" customWidth="true" hidden="false" outlineLevel="0" max="8" min="7" style="3" width="33.39"/>
    <col collapsed="false" customWidth="true" hidden="false" outlineLevel="0" max="9" min="9" style="3" width="24.7"/>
    <col collapsed="false" customWidth="true" hidden="false" outlineLevel="0" max="10" min="10" style="3" width="26.32"/>
  </cols>
  <sheetData>
    <row r="1" s="59" customFormat="true" ht="16.15" hidden="false" customHeight="false" outlineLevel="0" collapsed="false">
      <c r="A1" s="24" t="s">
        <v>69</v>
      </c>
      <c r="B1" s="24" t="s">
        <v>70</v>
      </c>
      <c r="C1" s="25" t="s">
        <v>192</v>
      </c>
      <c r="D1" s="25" t="s">
        <v>72</v>
      </c>
      <c r="E1" s="25" t="s">
        <v>193</v>
      </c>
      <c r="F1" s="25" t="s">
        <v>27</v>
      </c>
      <c r="G1" s="25" t="s">
        <v>33</v>
      </c>
      <c r="H1" s="26" t="s">
        <v>52</v>
      </c>
      <c r="I1" s="27"/>
      <c r="XFD1" s="2"/>
    </row>
    <row r="2" customFormat="false" ht="16.4" hidden="false" customHeight="false" outlineLevel="0" collapsed="false">
      <c r="A2" s="28" t="s">
        <v>194</v>
      </c>
      <c r="B2" s="29" t="n">
        <v>0</v>
      </c>
      <c r="C2" s="30" t="n">
        <v>1786239</v>
      </c>
      <c r="D2" s="33" t="n">
        <v>1785037</v>
      </c>
      <c r="E2" s="30" t="n">
        <v>1428029</v>
      </c>
      <c r="F2" s="33" t="n">
        <v>1427700</v>
      </c>
      <c r="G2" s="33" t="n">
        <v>10000</v>
      </c>
      <c r="H2" s="60" t="n">
        <v>10000</v>
      </c>
      <c r="J2" s="2"/>
    </row>
    <row r="3" customFormat="false" ht="16.4" hidden="false" customHeight="false" outlineLevel="0" collapsed="false">
      <c r="A3" s="28" t="s">
        <v>195</v>
      </c>
      <c r="B3" s="29" t="n">
        <v>1</v>
      </c>
      <c r="C3" s="30" t="n">
        <v>349240</v>
      </c>
      <c r="D3" s="33" t="n">
        <v>346201</v>
      </c>
      <c r="E3" s="30" t="n">
        <v>276961</v>
      </c>
      <c r="F3" s="33" t="n">
        <v>275565</v>
      </c>
      <c r="G3" s="33" t="n">
        <v>10000</v>
      </c>
      <c r="H3" s="60" t="n">
        <v>10000</v>
      </c>
      <c r="J3" s="2"/>
    </row>
    <row r="4" customFormat="false" ht="16.4" hidden="false" customHeight="false" outlineLevel="0" collapsed="false">
      <c r="A4" s="28" t="s">
        <v>196</v>
      </c>
      <c r="B4" s="29" t="n">
        <v>2</v>
      </c>
      <c r="C4" s="30" t="n">
        <v>161323</v>
      </c>
      <c r="D4" s="33" t="n">
        <v>161323</v>
      </c>
      <c r="E4" s="30" t="n">
        <v>129058</v>
      </c>
      <c r="F4" s="33" t="n">
        <v>129044</v>
      </c>
      <c r="G4" s="33" t="n">
        <v>10000</v>
      </c>
      <c r="H4" s="60" t="n">
        <v>10000</v>
      </c>
      <c r="J4" s="2"/>
    </row>
    <row r="5" customFormat="false" ht="16.4" hidden="false" customHeight="false" outlineLevel="0" collapsed="false">
      <c r="A5" s="28" t="s">
        <v>197</v>
      </c>
      <c r="B5" s="29" t="n">
        <v>3</v>
      </c>
      <c r="C5" s="30" t="n">
        <v>95733</v>
      </c>
      <c r="D5" s="33" t="n">
        <v>95729</v>
      </c>
      <c r="E5" s="30" t="n">
        <v>76583</v>
      </c>
      <c r="F5" s="33" t="n">
        <v>75502</v>
      </c>
      <c r="G5" s="33" t="n">
        <v>10000</v>
      </c>
      <c r="H5" s="60" t="n">
        <v>10000</v>
      </c>
      <c r="J5" s="2"/>
    </row>
    <row r="6" customFormat="false" ht="16.4" hidden="false" customHeight="false" outlineLevel="0" collapsed="false">
      <c r="A6" s="28" t="s">
        <v>141</v>
      </c>
      <c r="B6" s="29" t="n">
        <v>4</v>
      </c>
      <c r="C6" s="30" t="n">
        <v>9531</v>
      </c>
      <c r="D6" s="33" t="n">
        <v>9531</v>
      </c>
      <c r="E6" s="30" t="n">
        <v>7625</v>
      </c>
      <c r="F6" s="33" t="n">
        <v>7608</v>
      </c>
      <c r="G6" s="33" t="n">
        <v>10000</v>
      </c>
      <c r="H6" s="60" t="n">
        <v>10000</v>
      </c>
      <c r="J6" s="2"/>
    </row>
    <row r="7" customFormat="false" ht="16.4" hidden="false" customHeight="false" outlineLevel="0" collapsed="false">
      <c r="A7" s="28" t="s">
        <v>198</v>
      </c>
      <c r="B7" s="29" t="n">
        <v>5</v>
      </c>
      <c r="C7" s="30" t="n">
        <v>8364</v>
      </c>
      <c r="D7" s="33" t="n">
        <v>8364</v>
      </c>
      <c r="E7" s="30" t="n">
        <v>6691</v>
      </c>
      <c r="F7" s="33" t="n">
        <v>6423</v>
      </c>
      <c r="G7" s="33" t="n">
        <v>10000</v>
      </c>
      <c r="H7" s="60" t="n">
        <v>10000</v>
      </c>
      <c r="J7" s="2"/>
    </row>
    <row r="8" customFormat="false" ht="16.4" hidden="false" customHeight="false" outlineLevel="0" collapsed="false">
      <c r="A8" s="28" t="s">
        <v>199</v>
      </c>
      <c r="B8" s="29" t="n">
        <v>6</v>
      </c>
      <c r="C8" s="30" t="n">
        <v>6860</v>
      </c>
      <c r="D8" s="33" t="n">
        <v>6856</v>
      </c>
      <c r="E8" s="30" t="n">
        <v>5485</v>
      </c>
      <c r="F8" s="33" t="n">
        <v>5325</v>
      </c>
      <c r="G8" s="33" t="n">
        <v>10000</v>
      </c>
      <c r="H8" s="60" t="n">
        <v>10000</v>
      </c>
      <c r="J8" s="2"/>
    </row>
    <row r="9" customFormat="false" ht="16.4" hidden="false" customHeight="false" outlineLevel="0" collapsed="false">
      <c r="A9" s="28" t="s">
        <v>144</v>
      </c>
      <c r="B9" s="29" t="n">
        <v>7</v>
      </c>
      <c r="C9" s="30" t="n">
        <v>5949</v>
      </c>
      <c r="D9" s="33" t="n">
        <v>5949</v>
      </c>
      <c r="E9" s="30" t="n">
        <v>4759</v>
      </c>
      <c r="F9" s="33" t="n">
        <v>4732</v>
      </c>
      <c r="G9" s="33" t="n">
        <v>10000</v>
      </c>
      <c r="H9" s="60" t="n">
        <v>10000</v>
      </c>
      <c r="J9" s="2"/>
    </row>
    <row r="10" customFormat="false" ht="16.4" hidden="false" customHeight="false" outlineLevel="0" collapsed="false">
      <c r="A10" s="28" t="s">
        <v>200</v>
      </c>
      <c r="B10" s="29" t="n">
        <v>8</v>
      </c>
      <c r="C10" s="30" t="n">
        <v>5508</v>
      </c>
      <c r="D10" s="33" t="n">
        <v>5508</v>
      </c>
      <c r="E10" s="30" t="n">
        <v>4406</v>
      </c>
      <c r="F10" s="33" t="n">
        <v>4393</v>
      </c>
      <c r="G10" s="33" t="n">
        <v>10000</v>
      </c>
      <c r="H10" s="60" t="n">
        <v>10000</v>
      </c>
      <c r="J10" s="2"/>
    </row>
    <row r="11" customFormat="false" ht="16.4" hidden="false" customHeight="false" outlineLevel="0" collapsed="false">
      <c r="A11" s="28" t="s">
        <v>201</v>
      </c>
      <c r="B11" s="29" t="n">
        <v>9</v>
      </c>
      <c r="C11" s="30" t="n">
        <v>5177</v>
      </c>
      <c r="D11" s="33" t="n">
        <v>5123</v>
      </c>
      <c r="E11" s="30" t="n">
        <v>4098</v>
      </c>
      <c r="F11" s="33" t="n">
        <v>3980</v>
      </c>
      <c r="G11" s="33" t="n">
        <v>10000</v>
      </c>
      <c r="H11" s="60" t="n">
        <v>10000</v>
      </c>
      <c r="J11" s="2"/>
    </row>
    <row r="12" customFormat="false" ht="16.4" hidden="false" customHeight="false" outlineLevel="0" collapsed="false">
      <c r="A12" s="28" t="s">
        <v>202</v>
      </c>
      <c r="B12" s="29" t="n">
        <v>10</v>
      </c>
      <c r="C12" s="30" t="n">
        <v>2734</v>
      </c>
      <c r="D12" s="33" t="n">
        <v>2733</v>
      </c>
      <c r="E12" s="30" t="n">
        <v>2187</v>
      </c>
      <c r="F12" s="33" t="n">
        <v>2176</v>
      </c>
      <c r="G12" s="33" t="n">
        <v>10000</v>
      </c>
      <c r="H12" s="60" t="n">
        <v>10000</v>
      </c>
      <c r="J12" s="2"/>
    </row>
    <row r="13" customFormat="false" ht="16.4" hidden="false" customHeight="false" outlineLevel="0" collapsed="false">
      <c r="A13" s="28" t="s">
        <v>203</v>
      </c>
      <c r="B13" s="29" t="n">
        <v>11</v>
      </c>
      <c r="C13" s="30" t="n">
        <v>1358</v>
      </c>
      <c r="D13" s="33" t="n">
        <v>1357</v>
      </c>
      <c r="E13" s="30" t="n">
        <v>1086</v>
      </c>
      <c r="F13" s="33" t="n">
        <v>1076</v>
      </c>
      <c r="G13" s="33" t="n">
        <v>10000</v>
      </c>
      <c r="H13" s="60" t="n">
        <v>10000</v>
      </c>
      <c r="J13" s="2"/>
    </row>
    <row r="14" customFormat="false" ht="16.4" hidden="false" customHeight="false" outlineLevel="0" collapsed="false">
      <c r="A14" s="28" t="s">
        <v>204</v>
      </c>
      <c r="B14" s="29" t="n">
        <v>12</v>
      </c>
      <c r="C14" s="30" t="n">
        <v>24</v>
      </c>
      <c r="D14" s="33" t="n">
        <v>24</v>
      </c>
      <c r="E14" s="30" t="n">
        <v>19</v>
      </c>
      <c r="F14" s="33" t="n">
        <v>5</v>
      </c>
      <c r="G14" s="33" t="n">
        <v>10000</v>
      </c>
      <c r="H14" s="60" t="n">
        <v>10000</v>
      </c>
      <c r="J14" s="2"/>
    </row>
    <row r="15" customFormat="false" ht="16.4" hidden="false" customHeight="false" outlineLevel="0" collapsed="false">
      <c r="A15" s="61" t="s">
        <v>149</v>
      </c>
      <c r="B15" s="35" t="n">
        <v>13</v>
      </c>
      <c r="C15" s="36" t="n">
        <v>12</v>
      </c>
      <c r="D15" s="36" t="n">
        <v>12</v>
      </c>
      <c r="E15" s="36" t="n">
        <v>10</v>
      </c>
      <c r="F15" s="36" t="n">
        <v>10</v>
      </c>
      <c r="G15" s="36" t="n">
        <v>10000</v>
      </c>
      <c r="H15" s="62" t="n">
        <v>10000</v>
      </c>
      <c r="J15" s="2"/>
    </row>
    <row r="16" customFormat="false" ht="16.15" hidden="false" customHeight="false" outlineLevel="0" collapsed="false">
      <c r="C16" s="3" t="n">
        <f aca="false">SUM(C2:C15)</f>
        <v>2438052</v>
      </c>
      <c r="D16" s="3" t="n">
        <f aca="false">SUM(D2:D15)</f>
        <v>2433747</v>
      </c>
      <c r="E16" s="3" t="n">
        <f aca="false">SUM(E2:E15)</f>
        <v>1946997</v>
      </c>
      <c r="F16" s="3" t="n">
        <f aca="false">SUM(F2:F15)</f>
        <v>1943539</v>
      </c>
      <c r="G16" s="3" t="n">
        <f aca="false">SUM(G2:G15)</f>
        <v>140000</v>
      </c>
      <c r="H16" s="3" t="n">
        <f aca="false">SUM(H2:H15)</f>
        <v>140000</v>
      </c>
      <c r="J16" s="2"/>
    </row>
    <row r="17" customFormat="false" ht="16.4" hidden="false" customHeight="false" outlineLevel="0" collapsed="false">
      <c r="J17" s="2"/>
    </row>
    <row r="18" customFormat="false" ht="16.4" hidden="false" customHeight="false" outlineLevel="0" collapsed="false">
      <c r="E18" s="38"/>
      <c r="F18" s="29"/>
      <c r="G18" s="29"/>
    </row>
    <row r="19" customFormat="false" ht="16.4" hidden="false" customHeight="false" outlineLevel="0" collapsed="false">
      <c r="A19" s="3" t="s">
        <v>90</v>
      </c>
      <c r="C19" s="3" t="n">
        <v>122</v>
      </c>
      <c r="D19" s="30" t="n">
        <v>48</v>
      </c>
      <c r="E19" s="29" t="n">
        <v>48</v>
      </c>
      <c r="F19" s="29" t="n">
        <v>48</v>
      </c>
      <c r="G19" s="3" t="n">
        <v>48</v>
      </c>
      <c r="H19" s="3" t="n">
        <v>48</v>
      </c>
      <c r="I19" s="2"/>
    </row>
    <row r="34" customFormat="false" ht="16.15" hidden="false" customHeight="false" outlineLevel="0" collapsed="false">
      <c r="J34" s="30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Roman,Regular"&amp;12&amp;KffffffPágina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3789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es-ES</dc:language>
  <cp:lastModifiedBy/>
  <dcterms:modified xsi:type="dcterms:W3CDTF">2026-04-08T20:08:50Z</dcterms:modified>
  <cp:revision>119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